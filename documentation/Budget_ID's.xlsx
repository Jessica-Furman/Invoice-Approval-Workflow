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raccorp-my.sharepoint.com/personal/lisa_roddy_rentacenter_com/Documents/Documents/Cannonscan_2/"/>
    </mc:Choice>
  </mc:AlternateContent>
  <xr:revisionPtr revIDLastSave="0" documentId="8_{746FD53E-F1D6-443B-B926-E97E9E3AB19F}" xr6:coauthVersionLast="47" xr6:coauthVersionMax="47" xr10:uidLastSave="{00000000-0000-0000-0000-000000000000}"/>
  <bookViews>
    <workbookView xWindow="-28920" yWindow="-1020" windowWidth="29040" windowHeight="15720" xr2:uid="{D1EB2E0B-724E-4757-82FF-9B767DD3C6BB}"/>
  </bookViews>
  <sheets>
    <sheet name="ID Master" sheetId="1" r:id="rId1"/>
  </sheets>
  <definedNames>
    <definedName name="\\">#REF!</definedName>
    <definedName name="__FDS_HYPERLINK_TOGGLE_STATE__" hidden="1">"ON"</definedName>
    <definedName name="_2022">#REF!</definedName>
    <definedName name="_2022bdm" hidden="1">#REF!</definedName>
    <definedName name="_bdm.007C1D224CD4405180C7F52512E0677E.edm" hidden="1">#REF!</definedName>
    <definedName name="_bdm.0509802BC4904463BD9FC7D1014C0CB8.edm" hidden="1">#REF!</definedName>
    <definedName name="_bdm.0652B2FA48DF4E2B8B56B5AB406B0454.edm" hidden="1">#REF!</definedName>
    <definedName name="_bdm.06D12D44523E4BD7A34C103ABC138FE6.edm" hidden="1">#REF!</definedName>
    <definedName name="_bdm.07AC53FEE803406C9531892C0564F0F9.edm" hidden="1">#REF!</definedName>
    <definedName name="_bdm.08809FBE138B47CCAD15FC5454D067CE.edm" hidden="1">#REF!</definedName>
    <definedName name="_bdm.08ED4FA6B75744A299D0109409ABDDB2.edm" hidden="1">#REF!</definedName>
    <definedName name="_bdm.090C1322A53D4D659F6A118AA25D33F5.edm" hidden="1">#REF!</definedName>
    <definedName name="_bdm.0B006983832D4A4BB0CAA77AAD8BD7F5.edm" hidden="1">#REF!</definedName>
    <definedName name="_bdm.0B16DDC8F11446EF80BD96B0B2830468.edm" hidden="1">#REF!</definedName>
    <definedName name="_bdm.0B4E7C16708143ABB997E9DB54FE61B7.edm" hidden="1">#REF!</definedName>
    <definedName name="_bdm.0CED5F337A76485181B3C670A5F19C19.edm" hidden="1">#REF!</definedName>
    <definedName name="_bdm.0E87031A59F24634B5DF3E339424E512.edm" hidden="1">#REF!</definedName>
    <definedName name="_bdm.0F2D4F2161D545EA90A4972FB5A47AE4.edm" hidden="1">#REF!</definedName>
    <definedName name="_bdm.0F6E0E9F304A411CB41E827CE743B5F3.edm" hidden="1">#REF!</definedName>
    <definedName name="_bdm.10EE248B6C1C4AF3B497BF73778A146B.edm" hidden="1">#REF!</definedName>
    <definedName name="_bdm.11964115B08D41A389E489A0AB814BD8.edm" hidden="1">#REF!</definedName>
    <definedName name="_bdm.1342FBAC436D49058A60BB38DB85549F.edm" hidden="1">#REF!</definedName>
    <definedName name="_bdm.13DDB2E78C0247C88D1DFFC76BEBBDF0.edm" hidden="1">#REF!</definedName>
    <definedName name="_bdm.14FE4641874C4F7E99B67E50923FF628.edm" hidden="1">#REF!</definedName>
    <definedName name="_bdm.163B76C3758B4E4B8C86E3E09B9718E7.edm" hidden="1">#REF!</definedName>
    <definedName name="_bdm.163E2FDCECFE4D2B9834E952F20E3FF8.edm" hidden="1">#REF!</definedName>
    <definedName name="_bdm.165C12FE986E4CC6B7F27A6F259F2FD6.edm" hidden="1">#REF!</definedName>
    <definedName name="_bdm.17098ED9C95B4C0E87C052D54D4497F9.edm" hidden="1">#REF!</definedName>
    <definedName name="_bdm.1725CF220F8544B3A93A6A34452DE3B4.edm" hidden="1">#REF!</definedName>
    <definedName name="_bdm.17F361D5D23747BA948495BA7E88A00D.edm" hidden="1">#REF!</definedName>
    <definedName name="_bdm.17F866F4A5424D21907A0346A2C2702B.edm" hidden="1">#REF!</definedName>
    <definedName name="_bdm.182A092D6D1C466DA73C10E7A82062CE.edm" hidden="1">#REF!</definedName>
    <definedName name="_bdm.1843A4C3559E43EF8F9135CB54A394F2.edm" hidden="1">#REF!</definedName>
    <definedName name="_bdm.1A9DAEE8FC174312986F4582C72DF1DD.edm" hidden="1">#REF!</definedName>
    <definedName name="_bdm.1D6EF08EA1B9481CBD26D8122B8479A0.edm" hidden="1">#REF!</definedName>
    <definedName name="_bdm.1FD4499AC9D54CE78C54643664F39825.edm" hidden="1">#REF!</definedName>
    <definedName name="_bdm.201243D001344D18B490F478F4DFD232.edm" hidden="1">#REF!</definedName>
    <definedName name="_bdm.211961A7CA444C2A8E5C65F4932BCDC8.edm" hidden="1">#REF!</definedName>
    <definedName name="_bdm.214F2EF6C5C045DA91441430114DE4DE.edm" hidden="1">#REF!</definedName>
    <definedName name="_bdm.217AA813249D48AF92C8A8EE718400AE.edm" hidden="1">#REF!</definedName>
    <definedName name="_bdm.223FA0F578B54D3985D5F1916242D99E.edm" hidden="1">#REF!</definedName>
    <definedName name="_bdm.22F8688D6FCA481B82CA2039A5430694.edm" hidden="1">#REF!</definedName>
    <definedName name="_bdm.232CF17E728046D0980AB3855D0034E2.edm" hidden="1">#REF!</definedName>
    <definedName name="_bdm.243683C5B1934B80B13188D70B3990DC.edm" hidden="1">#REF!</definedName>
    <definedName name="_bdm.25B1ECE57C9947209199BF7D79B7C176.edm" hidden="1">#REF!</definedName>
    <definedName name="_bdm.2B8991C8FB944E59AAE16E141B55BB80.edm" hidden="1">#REF!</definedName>
    <definedName name="_bdm.2BDF6DC525A84AF5B02C3F48FC64E9D2.edm" hidden="1">#REF!</definedName>
    <definedName name="_bdm.2BF54DEE655D4906A1DCB89B5C0326CB.edm" hidden="1">#REF!</definedName>
    <definedName name="_bdm.2C089501CA6F479FA3F60A4BD1CD2F8A.edm" hidden="1">#REF!</definedName>
    <definedName name="_bdm.2E428D2EC9814B68ADCCB9B19DB22E22.edm" hidden="1">#REF!</definedName>
    <definedName name="_bdm.2F096A31D9F148B985FD794312F898E4.edm" hidden="1">#REF!</definedName>
    <definedName name="_bdm.2F25D9E0D1E14980B59276BB4E10A158.edm" hidden="1">#REF!</definedName>
    <definedName name="_bdm.31FAF8A743024EF6BDEB1151DDF166DE.edm" hidden="1">#REF!</definedName>
    <definedName name="_bdm.332B2404CFE4441796AA1544CF40DB4E.edm" hidden="1">#REF!</definedName>
    <definedName name="_bdm.33DCA2489AFE489093E29584AD646144.edm" hidden="1">#REF!</definedName>
    <definedName name="_bdm.349557DCBEFF4F8E8D5C0228BF7D84B3.edm" hidden="1">#REF!</definedName>
    <definedName name="_bdm.34955D7CE2324A58AFBD7D751BAE3E08.edm" hidden="1">#REF!</definedName>
    <definedName name="_bdm.34B4F250FC6A4966A5ABFD741CD31C7F.edm" hidden="1">#REF!</definedName>
    <definedName name="_bdm.361A9A36F2BF4DC09160CE67DB22EADA.edm" hidden="1">#REF!</definedName>
    <definedName name="_bdm.3662D7A0274049DB9B4C8069F3A35328.edm" hidden="1">#REF!</definedName>
    <definedName name="_bdm.3725BDC49D8E40C3A1171C39655E8550.edm" hidden="1">#REF!</definedName>
    <definedName name="_bdm.3A4002C051C84559AFF45376905AD802.edm" hidden="1">#REF!</definedName>
    <definedName name="_bdm.3DD692E4D0CF40CCA1682614C96FDF5D.edm" hidden="1">#REF!</definedName>
    <definedName name="_bdm.3E58AE55A8EF49399E9383CE951C01D1.edm" hidden="1">#REF!</definedName>
    <definedName name="_bdm.4492482F0B55452FB99276AE12073F54.edm" hidden="1">#REF!</definedName>
    <definedName name="_bdm.460747DA77EB47A98CFB755E79265356.edm" hidden="1">#REF!</definedName>
    <definedName name="_bdm.46D3E9C7DA6F4704932482F5213A38EB.edm" hidden="1">#REF!</definedName>
    <definedName name="_bdm.4706DBBE78864C68B8256DA2B6FFD654.edm" hidden="1">#REF!</definedName>
    <definedName name="_bdm.47486A06C8AD425688AFCB3B22D1133A.edm" hidden="1">#REF!</definedName>
    <definedName name="_bdm.478B5CD28C844133AACFC9DF39DC43AF.edm" hidden="1">#REF!</definedName>
    <definedName name="_bdm.4B1AFB48E76B43A4AB3E89F10A2D5BEE.edm" hidden="1">#REF!</definedName>
    <definedName name="_bdm.4C3EB4FE854E43CFAE6F54EB631D1C1F.edm" hidden="1">#REF!</definedName>
    <definedName name="_bdm.4D1F0D8BCF9D4379929562CEB4F0701A.edm" hidden="1">#REF!</definedName>
    <definedName name="_bdm.4D3E16DB19C5488FBA540F19461C6273.edm" hidden="1">#REF!</definedName>
    <definedName name="_bdm.4D4CE99942FE493AA387974D5EDF2789.edm" hidden="1">#REF!</definedName>
    <definedName name="_bdm.4F10A7067052416086343648DE345934.edm" hidden="1">#REF!</definedName>
    <definedName name="_bdm.4FBD7DEE5F6D40C7A08F42E15D58BFC1.edm" hidden="1">#REF!</definedName>
    <definedName name="_bdm.50D7CF27216A42C889D34F484504AD69.edm" hidden="1">#REF!</definedName>
    <definedName name="_bdm.535F8182450144A49EC5DF3A00A29FBA.edm" hidden="1">#REF!</definedName>
    <definedName name="_bdm.57D7FFE4DAAF40EB82914B83A23F085C.edm" hidden="1">#REF!</definedName>
    <definedName name="_bdm.57FAF79DDB26488CBF6F468AAD102F27.edm" hidden="1">#REF!</definedName>
    <definedName name="_bdm.584D4F374A984FEAA4E1F0A62609A73E.edm" hidden="1">#REF!</definedName>
    <definedName name="_bdm.5851B0650D5C4D63BA9CC6026B55BB0A.edm" hidden="1">#REF!</definedName>
    <definedName name="_bdm.589901537B274BF792448A5E59FC8CB6.edm" hidden="1">#REF!</definedName>
    <definedName name="_bdm.58A8A0D4F1B84A3AA49D9ACECD1B3B92.edm" hidden="1">#REF!</definedName>
    <definedName name="_bdm.595451C85CBC4376AB401C7014E4CF5F.edm" hidden="1">#REF!</definedName>
    <definedName name="_bdm.59DD29AF92674D0AA5002A5B8A198CD5.edm" hidden="1">#REF!</definedName>
    <definedName name="_bdm.5AF6AA25243C4F5BB196F43B5BBF1AAC.edm" hidden="1">#REF!</definedName>
    <definedName name="_bdm.5B8853FCE0ED42889507A8BAFA27CFCE.edm" hidden="1">#REF!</definedName>
    <definedName name="_bdm.5C2CC264937B4EC8BE1AAF8267E5BE79.edm" hidden="1">#REF!</definedName>
    <definedName name="_bdm.5C2F16D04DB641429C2ECC2FD4C1CF38.edm" hidden="1">#REF!</definedName>
    <definedName name="_bdm.5C9761554DC74C6290AD7EC8BB270F05.edm" hidden="1">#REF!</definedName>
    <definedName name="_bdm.5C9BD23A0AD44B6887A75ACA258F1F68.edm" hidden="1">#REF!</definedName>
    <definedName name="_bdm.5C9ECFE796C640FEA68C7A7FDEC1155C.edm" hidden="1">#REF!</definedName>
    <definedName name="_bdm.5E3DCB481E9548FFB70DEEA097C37635.edm" hidden="1">#REF!</definedName>
    <definedName name="_bdm.624C04683BEF45FA8ED19815606C3AC9.edm" hidden="1">#REF!</definedName>
    <definedName name="_bdm.62685EEFEEF0469589644AC6CE733B5D.edm" hidden="1">#REF!</definedName>
    <definedName name="_bdm.63B4555C3E9740F0B166EF4520071DF1.edm" hidden="1">#REF!</definedName>
    <definedName name="_bdm.650482CC37F54C7486109DE5CF662E51.edm" hidden="1">#REF!</definedName>
    <definedName name="_bdm.6598F473D5DB4BB5B5EC52A04FFCDC12.edm" hidden="1">#REF!</definedName>
    <definedName name="_bdm.669E03D999FC49EB993534F9A826F1DB.edm" hidden="1">#REF!</definedName>
    <definedName name="_bdm.67CE6EE77A6849B6B24982AB1DA251F7.edm" hidden="1">#REF!</definedName>
    <definedName name="_bdm.68D53E3E301E419C81640E96B51C0541.edm" hidden="1">#REF!</definedName>
    <definedName name="_bdm.69171AF4927342A89F30890E477E9652.edm" hidden="1">#REF!</definedName>
    <definedName name="_bdm.692B7F99FC2E4E97ACF9B9BD81DC2C28.edm" hidden="1">#REF!</definedName>
    <definedName name="_bdm.69FB87B386074066B28D02646251BE11.edm" hidden="1">#REF!</definedName>
    <definedName name="_bdm.6AF363F23E5D4831875D36E8308AC602.edm" hidden="1">#REF!</definedName>
    <definedName name="_bdm.6BF0E9E815284022980CE1F9EC0094CD.edm" hidden="1">#REF!</definedName>
    <definedName name="_bdm.6CAC72C2F2EF4A3383F0B28BFEC8CCE5.edm" hidden="1">#REF!</definedName>
    <definedName name="_bdm.6EA10269A3B24951B5D6A5311EE84D94.edm" hidden="1">#REF!</definedName>
    <definedName name="_bdm.6ECC9AB0AF374354B55BC66F3271C419.edm" hidden="1">#REF!</definedName>
    <definedName name="_bdm.6FCE41D658274903B5016F37BAF8A09A.edm" hidden="1">#REF!</definedName>
    <definedName name="_bdm.7083CF59816C476FBF59D9DA8E47C842.edm" hidden="1">#REF!</definedName>
    <definedName name="_bdm.70A063EE23FB4349877157024E63138F.edm" hidden="1">#REF!</definedName>
    <definedName name="_bdm.758322C5072D4D9B99DF5A4EB8AF126B.edm" hidden="1">#REF!</definedName>
    <definedName name="_bdm.75D0DCEB04C94512909C06F6F9D1F0A7.edm" hidden="1">#REF!</definedName>
    <definedName name="_bdm.76C1C8601913451D838B60DF8F2FEDB6.edm" hidden="1">#REF!</definedName>
    <definedName name="_bdm.77935E09A3ED4712B20DDEBE809BC0B7.edm" hidden="1">#REF!</definedName>
    <definedName name="_bdm.77CC7B0CEF02431BA982D987B1CB13E4.edm" hidden="1">#REF!</definedName>
    <definedName name="_bdm.792860EEFD1A41A6B112CA62466F734D.edm" hidden="1">#REF!</definedName>
    <definedName name="_bdm.7B254461E5324E45BEE190E68FF83051.edm" hidden="1">#REF!</definedName>
    <definedName name="_bdm.7D916AC2CC6E4F8FB065D6C265518558.edm" hidden="1">#REF!</definedName>
    <definedName name="_bdm.7EE00B6435C1476AAA5C97C4B6EAE357.edm" hidden="1">#REF!</definedName>
    <definedName name="_bdm.7F47B7B7D6B04068BB785BE4A08F7831.edm" hidden="1">#REF!</definedName>
    <definedName name="_bdm.810757DA8E6847FD970CEB3C8143D777.edm" hidden="1">#REF!</definedName>
    <definedName name="_bdm.823B08A8FC88406494FF440E2D778393.edm" hidden="1">#REF!</definedName>
    <definedName name="_bdm.827A71F4F0C94CC98D922F2C9772674B.edm" hidden="1">#REF!</definedName>
    <definedName name="_bdm.82B8BD634988435395214C286D17E7BE.edm" hidden="1">#REF!</definedName>
    <definedName name="_bdm.82EFA27717C142FBB420C303C579BA29.edm" hidden="1">#REF!</definedName>
    <definedName name="_bdm.8575D7ECDD83400C89A165638EB5EE20.edm" hidden="1">#REF!</definedName>
    <definedName name="_bdm.857B94AC2182472E8AB6D321C42FF487.edm" hidden="1">#REF!</definedName>
    <definedName name="_bdm.85D0E3585AD74D84819750EA77D0FBBC.edm" hidden="1">#REF!</definedName>
    <definedName name="_bdm.863BF4F7290140E69B2B87490F07484B.edm" hidden="1">#REF!</definedName>
    <definedName name="_bdm.87E6133EF43847F095F90DAA9F14B7A5.edm" hidden="1">#REF!</definedName>
    <definedName name="_bdm.8F2D1730F7654A21A73FEEBE202F5D42.edm" hidden="1">#REF!</definedName>
    <definedName name="_bdm.90A8C2B24E6B4D708AFCB03F66B23F3B.edm" hidden="1">#REF!</definedName>
    <definedName name="_bdm.90D796657FEA4FF3A2C72CD3900B02A6.edm" hidden="1">#REF!</definedName>
    <definedName name="_bdm.912951C0F4FE4B5A813AFFEB07FF581B.edm" hidden="1">#REF!</definedName>
    <definedName name="_bdm.913FA7EE6F8A4250B38C02AE3EE29770.edm" hidden="1">#REF!</definedName>
    <definedName name="_bdm.925139B8251749AA84AA5990DF9410D6.edm" hidden="1">#REF!</definedName>
    <definedName name="_bdm.938C210AAC49466FB0F7963C2AABB464.edm" hidden="1">#REF!</definedName>
    <definedName name="_bdm.9558C6FD2D1A41DAB7EBD3A408924DE6.edm" hidden="1">#REF!</definedName>
    <definedName name="_bdm.95715A5BB5E3499A94DC8975E4288E8F.edm" hidden="1">#REF!</definedName>
    <definedName name="_bdm.97450FEA63AC48C29BB4280DA28F67B3.edm" hidden="1">#REF!</definedName>
    <definedName name="_bdm.984E06A6ACDF4279BD838011E4A5AF2C.edm" hidden="1">#REF!</definedName>
    <definedName name="_bdm.99360D89E3C540ADBF0AA7B20E277903.edm" hidden="1">#REF!</definedName>
    <definedName name="_bdm.99CF7A7A764440C4AEABDC10D7096928.edm" hidden="1">#REF!</definedName>
    <definedName name="_bdm.99ECE305D9964B3EB31187E43523C73A.edm" hidden="1">#REF!</definedName>
    <definedName name="_bdm.9AD6B69603B7489AADB8B69EB68D4A8E.edm" hidden="1">#REF!</definedName>
    <definedName name="_bdm.9C5E33F06FFD4E02AE99E21017847A25.edm" hidden="1">#REF!</definedName>
    <definedName name="_bdm.9F281C2D729544CBA58025780394E066.edm" hidden="1">#REF!</definedName>
    <definedName name="_bdm.9F49B659818E4F8DB537CBAD556706A7.edm" hidden="1">#REF!</definedName>
    <definedName name="_bdm.A0FB5C0D7A1C4E72AD632A2E87049DE9.edm" hidden="1">#REF!</definedName>
    <definedName name="_bdm.A0FC95D084484F4CB0DB8065802DAEC2.edm" hidden="1">#REF!</definedName>
    <definedName name="_bdm.A3938693C4AA4101B5EA684FA4DC9EC5.edm" hidden="1">#REF!</definedName>
    <definedName name="_bdm.A47690466B074C2595AFD45A96169806.edm" hidden="1">#REF!</definedName>
    <definedName name="_bdm.A5F535492512432A8901717E7ED3338A.edm" hidden="1">#REF!</definedName>
    <definedName name="_bdm.A60B08BA82324890B93913E05CC34D5C.edm" hidden="1">#REF!</definedName>
    <definedName name="_bdm.A6EBA1A6287C4D08821F9261BEC5BB9F.edm" hidden="1">#REF!</definedName>
    <definedName name="_bdm.A843B10E23444DF4BF9548958BCE1994.edm" hidden="1">#REF!</definedName>
    <definedName name="_bdm.A8637A6BEE354D0C8FFD84419A5B55EE.edm" hidden="1">#REF!</definedName>
    <definedName name="_bdm.A8715AB9E6DF421394B78E1BCEE371F3.edm" hidden="1">#REF!</definedName>
    <definedName name="_bdm.AC0CD7931FA641D08094AC99CB8A7CBB.edm" hidden="1">#REF!</definedName>
    <definedName name="_bdm.ACFBF56D2368498B8A05F0F048968777.edm" hidden="1">#REF!</definedName>
    <definedName name="_bdm.AD671641271E4A339DE71A82D54046A6.edm" hidden="1">#REF!</definedName>
    <definedName name="_bdm.AF4BC401E63543628D12CFA9B1B3B0B3.edm" hidden="1">#REF!</definedName>
    <definedName name="_bdm.AF773558D3EC481A96F8F48875B36A88.edm" hidden="1">#REF!</definedName>
    <definedName name="_bdm.B186E15AA61247E49B998A281EB54A51.edm" hidden="1">#REF!</definedName>
    <definedName name="_bdm.B2EEA3FEF9EF460F9646D5046F51BA6B.edm" hidden="1">#REF!</definedName>
    <definedName name="_bdm.B32C27066B474B7093CA312E4410C870.edm" hidden="1">#REF!</definedName>
    <definedName name="_bdm.B3B9E42BB888499897B24C1353B83652.edm" hidden="1">#REF!</definedName>
    <definedName name="_bdm.B3E164EC4CF84C70868E58344F800852.edm" hidden="1">#REF!</definedName>
    <definedName name="_bdm.B4367CE3B149429698EFDB6B3E697924.edm" hidden="1">#REF!</definedName>
    <definedName name="_bdm.B44B1986CC8E4141AF91DC102D3DDCEC.edm" hidden="1">#REF!</definedName>
    <definedName name="_bdm.B5637F213E89450389A6B13F1DB2F883.edm" hidden="1">#REF!</definedName>
    <definedName name="_bdm.B8FCDE0827E846458FD1BAFA5F07AAE3.edm" hidden="1">#REF!</definedName>
    <definedName name="_bdm.B9F0B03BF7A4481FA4BDC46EC9E8AE3A.edm" hidden="1">#REF!</definedName>
    <definedName name="_bdm.BA1AD8CD31EB4332A5896B9E976942F8.edm" hidden="1">#REF!</definedName>
    <definedName name="_bdm.BCA7CDCDA1FB4B76BF3755179C2D0200.edm" hidden="1">#REF!</definedName>
    <definedName name="_bdm.BF4F9C20D67546B7AEC95ECB28BAFA61.edm" hidden="1">#REF!</definedName>
    <definedName name="_bdm.C0CA9FF7E3D746D6A6EB54F72E8CB42F.edm" hidden="1">#REF!</definedName>
    <definedName name="_bdm.C17A1B12D43F41EA9736D9062F460D1D.edm" hidden="1">#REF!</definedName>
    <definedName name="_bdm.C2B1479279C14F60AC08799ED8A8E24D.edm" hidden="1">#REF!</definedName>
    <definedName name="_bdm.C451E26BD32B4E55B4C9248448F65317.edm" hidden="1">#REF!</definedName>
    <definedName name="_bdm.C5019477A1CF488D88A1FA4ACCD41639.edm" hidden="1">#REF!</definedName>
    <definedName name="_bdm.C50EE2BE6B35410AB901B6599395C07B.edm" hidden="1">#REF!</definedName>
    <definedName name="_bdm.C61BC3CF5C1842AFB0E667CD3F300D2F.edm" hidden="1">#REF!</definedName>
    <definedName name="_bdm.C62CA4D9D8444FC18A277D9EF9117F9B.edm" hidden="1">#REF!</definedName>
    <definedName name="_bdm.C6D132461F934440B9092B92149D0296.edm" hidden="1">#REF!</definedName>
    <definedName name="_bdm.C898044C281F4002B657876EEEF54A94.edm" hidden="1">#REF!</definedName>
    <definedName name="_bdm.C921ECD3503E49C58CD25F4EF785790F.edm" hidden="1">#REF!</definedName>
    <definedName name="_bdm.CA6B13128BBB43BBB82BC6F4304CB568.edm" hidden="1">#REF!</definedName>
    <definedName name="_bdm.CC4B1B78616E4AC5B0C3EA8852AB3482.edm" hidden="1">#REF!</definedName>
    <definedName name="_bdm.CC4EED0E69894811808F3CEC927B750A.edm" hidden="1">#REF!</definedName>
    <definedName name="_bdm.CCC109E1FEF54FE283F960D682C3FF99.edm" hidden="1">#REF!</definedName>
    <definedName name="_bdm.CCD7E4EFF54E4A20BF2027CDB6FBCE63.edm" hidden="1">#REF!</definedName>
    <definedName name="_bdm.CCF645B21C6A4B79962E4B4F54BDDC44.edm" hidden="1">#REF!</definedName>
    <definedName name="_bdm.CF13E457D517439E8DFA165C08086F62.edm" hidden="1">#REF!</definedName>
    <definedName name="_bdm.CFC68A61017B42D68FAA62D2DAF7A122.edm" hidden="1">#REF!</definedName>
    <definedName name="_bdm.CFD83350EFA74CE7BC4A97BA0581DF0E.edm" hidden="1">#REF!</definedName>
    <definedName name="_bdm.D006BEACAD3549478E340D7CF196196C.edm" hidden="1">#REF!</definedName>
    <definedName name="_bdm.D23F9A3C37EB4DC1B5C216A2067B790B.edm" hidden="1">#REF!</definedName>
    <definedName name="_bdm.D402BBBB39A64C1BB3A4A09CC5C83A2B.edm" hidden="1">#REF!</definedName>
    <definedName name="_bdm.D456FF9BE78248F0B3652125379A3E97.edm" hidden="1">#REF!</definedName>
    <definedName name="_bdm.D5EDF818421F412FA7B7D269FDAE29BF.edm" hidden="1">#REF!</definedName>
    <definedName name="_bdm.D620A42770B34055BA37BCD0A54B7272.edm" hidden="1">#REF!</definedName>
    <definedName name="_bdm.D65CA1A576C143CCAD2F28E1CE17B0F9.edm" hidden="1">#REF!</definedName>
    <definedName name="_bdm.D6ECEA1865F44233A4D80AD58389D486.edm" hidden="1">#REF!</definedName>
    <definedName name="_bdm.D7866A487AB444C493DF0B61870C6870.edm" hidden="1">#REF!</definedName>
    <definedName name="_bdm.D7A6E81E3BD045F59FDA267BC03A3C62.edm" hidden="1">#REF!</definedName>
    <definedName name="_bdm.D7EE71CFFFDA4800AC1B0210099E6013.edm" hidden="1">#REF!</definedName>
    <definedName name="_bdm.D8FD12FED03A4CC38CCE98769BDE229B.edm" hidden="1">#REF!</definedName>
    <definedName name="_bdm.D9037BEC4D0F42FD85D3D54A8BE0B2D3.edm" hidden="1">#REF!</definedName>
    <definedName name="_bdm.D93F073A2895443AA768981F1D53F91C.edm" hidden="1">#REF!</definedName>
    <definedName name="_bdm.D997B1CBEED44634B81E7AC27993CD1D.edm" hidden="1">#REF!</definedName>
    <definedName name="_bdm.DA6C8EBCD7094EC1B3EE8042CCB87AF0.edm" hidden="1">#REF!</definedName>
    <definedName name="_bdm.DC26CD57A3D34C338B71B657C42D8090.edm" hidden="1">#REF!</definedName>
    <definedName name="_bdm.DC59E11096EA46E583147B64C93DB116.edm" hidden="1">#REF!</definedName>
    <definedName name="_bdm.DE13A75BEF444FEB8CCAD1287D93FC39.edm" hidden="1">#REF!</definedName>
    <definedName name="_bdm.E02682C552034E10BC26E2455D758CA2.edm" hidden="1">#REF!</definedName>
    <definedName name="_bdm.E08AF7EDF6F1450CBCEDAFE6F731DE8E.edm" hidden="1">#REF!</definedName>
    <definedName name="_bdm.E0A044CDFAB14C31909AD34032FFC27A.edm" hidden="1">#REF!</definedName>
    <definedName name="_bdm.E1CF26BB2A1C430BAE06A5159699351E.edm" hidden="1">#REF!</definedName>
    <definedName name="_bdm.E24FA0B24E994683B5D26B4D4B1C6E39.edm" hidden="1">#REF!</definedName>
    <definedName name="_bdm.E72208BA69664A8986D206FDDC062899.edm" hidden="1">#REF!</definedName>
    <definedName name="_bdm.E88EB71D19574FE8A9DF43F9F1515E70.edm" hidden="1">#REF!</definedName>
    <definedName name="_bdm.E9059C077C5E4681BEE729300697B096.edm" hidden="1">#REF!</definedName>
    <definedName name="_bdm.E96DA16933A44F4FA04E8DC0350CF178.edm" hidden="1">#REF!</definedName>
    <definedName name="_bdm.EBC9C4E0F6244A4892D91C8E25ECB064.edm" hidden="1">#REF!</definedName>
    <definedName name="_bdm.ECA4FCC1175149579C964E9BFBA0946F.edm" hidden="1">#REF!</definedName>
    <definedName name="_bdm.ED384B7EF5F941F6ADF4883A79A8F240.edm" hidden="1">#REF!</definedName>
    <definedName name="_bdm.ED5C45D4EBCF42AAA574E7F83783DB16.edm" hidden="1">#REF!</definedName>
    <definedName name="_bdm.ED715F2540794D9B8E0C8355A29ACF7C.edm" hidden="1">#REF!</definedName>
    <definedName name="_bdm.ED7912AC909844EC95C9EA1AEB12EA25.edm" hidden="1">#REF!</definedName>
    <definedName name="_bdm.ED7FD5E25DD740199082F12BDF460C28.edm" hidden="1">#REF!</definedName>
    <definedName name="_bdm.EF04E9344B5F4A0B814AADBD0AD95363.edm" hidden="1">#REF!</definedName>
    <definedName name="_bdm.EF7FD2C37D354A8FAB6759BD2F5F82E1.edm" hidden="1">#REF!</definedName>
    <definedName name="_bdm.EFEE59572EB94C23B609CC461DA22CFD.edm" hidden="1">#REF!</definedName>
    <definedName name="_bdm.F036D26E6177415F8BD10517B5DF651E.edm" hidden="1">#REF!</definedName>
    <definedName name="_bdm.F1848CF655A24B649FB4BA7E6F72B24D.edm" hidden="1">#REF!</definedName>
    <definedName name="_bdm.F1CC71DB0ABD45E79622486C7591ECBF.edm" hidden="1">#REF!</definedName>
    <definedName name="_bdm.F33BD566F8114135BDAF818B7D8BF681.edm" hidden="1">#REF!</definedName>
    <definedName name="_bdm.F5013502BB33475987B52B0E58F635C8.edm" hidden="1">#REF!</definedName>
    <definedName name="_bdm.F52D112DB8DF469F890973278C701DD1.edm" hidden="1">#REF!</definedName>
    <definedName name="_bdm.F58EC808EF7B4C3884BAA1DBFEEE81F5.edm" hidden="1">#REF!</definedName>
    <definedName name="_bdm.F5D2E35AAEBD432DB25543ABA8C05ADF.edm" hidden="1">#REF!</definedName>
    <definedName name="_bdm.F5D98B4808264048934A0E8CCABAE730.edm" hidden="1">#REF!</definedName>
    <definedName name="_bdm.F5EF5999F67B47A3BAE3E4C1512193BB.edm" hidden="1">#REF!</definedName>
    <definedName name="_bdm.F69FBDB7BCA94DF0A522DE00D0BB7ED9.edm" hidden="1">#REF!</definedName>
    <definedName name="_bdm.F982B25943F2477A8C5790E92BCD6090.edm" hidden="1">#REF!</definedName>
    <definedName name="_bdm.FA71987509654501A8D46F5AEFDBECE3.edm" hidden="1">#REF!</definedName>
    <definedName name="_bdm.FA91808AD7BA40B2BB607626DA0D0D9C.edm" hidden="1">#REF!</definedName>
    <definedName name="_bdm.FBB2FA84F8594108BA62138DAE9D6BC5.edm" hidden="1">#REF!</definedName>
    <definedName name="_bdm.FC2E308D536A460090AB075542B0147E.edm" hidden="1">#REF!</definedName>
    <definedName name="_bdm.FECF881F1117400CA18091261E8714CB.edm" hidden="1">#REF!</definedName>
    <definedName name="AccountType">#REF!</definedName>
    <definedName name="acqsum">#REF!</definedName>
    <definedName name="acqsum2">#REF!</definedName>
    <definedName name="acquiror">#REF!</definedName>
    <definedName name="ActiveColumn">7</definedName>
    <definedName name="address">#REF!</definedName>
    <definedName name="address1">#REF!</definedName>
    <definedName name="Allocation">#REF!</definedName>
    <definedName name="AN">#REF!</definedName>
    <definedName name="AP_Days_Outstanding">#REF!</definedName>
    <definedName name="AR_Allowance">#REF!</definedName>
    <definedName name="AR_Days_Outstanding">#REF!</definedName>
    <definedName name="AS2DocOpenMode" hidden="1">"AS2DocumentEdit"</definedName>
    <definedName name="asdfj" hidden="1">#REF!</definedName>
    <definedName name="Asset_Class_List">#REF!</definedName>
    <definedName name="BXCB">#REF!</definedName>
    <definedName name="Canada">#REF!</definedName>
    <definedName name="CapEx_Detail">#REF!</definedName>
    <definedName name="case">#REF!</definedName>
    <definedName name="Cash_Balance">#REF!</definedName>
    <definedName name="chart">#REF!</definedName>
    <definedName name="Christine" hidden="1">#REF!</definedName>
    <definedName name="CORE">#REF!</definedName>
    <definedName name="d">#REF!</definedName>
    <definedName name="Date">#REF!</definedName>
    <definedName name="DealType?">#REF!</definedName>
    <definedName name="DEC13_RAC_FA_list">#REF!</definedName>
    <definedName name="DEC14_RAC_FA_list">#REF!</definedName>
    <definedName name="DEC15_RAC_FA_list_w_Disp">#REF!</definedName>
    <definedName name="Decision">#REF!</definedName>
    <definedName name="Default_Delivery_Payment_Pct">#REF!</definedName>
    <definedName name="Default_Down_Payment_Pct">#REF!</definedName>
    <definedName name="Default_Lead_Time">#REF!</definedName>
    <definedName name="Default_Terms">#REF!</definedName>
    <definedName name="Department">#REF!</definedName>
    <definedName name="Depreciation">#REF!</definedName>
    <definedName name="dfd" hidden="1">#REF!</definedName>
    <definedName name="Direct">#REF!</definedName>
    <definedName name="DirectLabor_Detail">#REF!</definedName>
    <definedName name="DLOV_oracle_apps_financials_generalLedger_journals_desktopEntry_di_FinGlDesktopMultibatchEntryPageDef_PeriodName_LedgerId_0">#REF!</definedName>
    <definedName name="DLOV_oracle_apps_financials_generalLedger_journals_desktopEntry_di_FinGlDesktopMultibatchEntryPageDef_ReversalPeriodName_LedgerId_0">#REF!</definedName>
    <definedName name="Dont_know">#REF!</definedName>
    <definedName name="DropDown">#REF!</definedName>
    <definedName name="DVP">#REF!</definedName>
    <definedName name="Estimate">#REF!</definedName>
    <definedName name="fgd" hidden="1">#REF!</definedName>
    <definedName name="FRA">#REF!</definedName>
    <definedName name="FY_Change">DATE(2015,6,1)</definedName>
    <definedName name="Graph_Annual_Profitability">#REF!</definedName>
    <definedName name="Graph_Annual_Revenue_By_Segment">#REF!</definedName>
    <definedName name="Graph_Profitability">#REF!</definedName>
    <definedName name="Graph_Project_Mix">#REF!</definedName>
    <definedName name="Graph_Quarterly_Capex">#REF!</definedName>
    <definedName name="Graph_Revenue_By_Segment">#REF!</definedName>
    <definedName name="Hours_Per_Year">#REF!</definedName>
    <definedName name="HTML_CodePage" hidden="1">1252</definedName>
    <definedName name="HTML_Control" hidden="1">{"'hw_inv'!$A$1:$M$92","'hw_inv'!$M$96"}</definedName>
    <definedName name="HTML_OBDlg2" hidden="1">FALSE</definedName>
    <definedName name="HTML_OBDlg3" hidden="1">TRUE</definedName>
    <definedName name="HTML_OBDlg4" hidden="1">TRUE</definedName>
    <definedName name="HTML_OS" hidden="1">0</definedName>
    <definedName name="HTML_PathFile" hidden="1">"C:\My Documents\MyHTML.htm"</definedName>
    <definedName name="HTML_PathTemplate" hidden="1">"\\Fshagr01\VOL1\GROUPS\INFO_SRV\MR_Sys\Templates\HwInvTemplate.htm"</definedName>
    <definedName name="ik">#REF!</definedName>
    <definedName name="IndirectLabor_Detail">#REF!</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CCOUNT_CHANGE" hidden="1">"c1449"</definedName>
    <definedName name="IQ_ACCOUNTING_FFIEC" hidden="1">"c13054"</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ENCY" hidden="1">"c8960"</definedName>
    <definedName name="IQ_AGENCY_INVEST_SECURITIES_FFIEC" hidden="1">"c13458"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INDUSTRIAL_LOANS_FFIEC" hidden="1">"c12821"</definedName>
    <definedName name="IQ_COMM_INDUSTRIAL_NON_US_LL_REC_FFIEC" hidden="1">"c12888"</definedName>
    <definedName name="IQ_COMM_INDUSTRIAL_US_LL_REC_FFIEC" hidden="1">"c12887"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E_DEPOSITS_ASSETS_TOT_FFIEC" hidden="1">"c13442"</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INT" hidden="1">"c360"</definedName>
    <definedName name="IQ_EBIT_MARGIN" hidden="1">"c359"</definedName>
    <definedName name="IQ_EBIT_OVER_IE" hidden="1">"c1369"</definedName>
    <definedName name="IQ_EBIT_SBC_ACT_OR_EST_CIQ" hidden="1">"c4841"</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XCL_SBC" hidden="1">"c3081"</definedName>
    <definedName name="IQ_EBITDA_HIGH_EST" hidden="1">"c370"</definedName>
    <definedName name="IQ_EBITDA_HIGH_EST_CIQ" hidden="1">"c3624"</definedName>
    <definedName name="IQ_EBITDA_INT" hidden="1">"c373"</definedName>
    <definedName name="IQ_EBITDA_LOW_EST" hidden="1">"c371"</definedName>
    <definedName name="IQ_EBITDA_LOW_EST_CIQ" hidden="1">"c3625"</definedName>
    <definedName name="IQ_EBITDA_MARGIN" hidden="1">"c372"</definedName>
    <definedName name="IQ_EBITDA_MEDIAN_EST" hidden="1">"c1663"</definedName>
    <definedName name="IQ_EBITDA_MEDIAN_EST_CIQ" hidden="1">"c3623"</definedName>
    <definedName name="IQ_EBITDA_NUM_EST" hidden="1">"c374"</definedName>
    <definedName name="IQ_EBITDA_NUM_EST_CIQ" hidden="1">"c3626"</definedName>
    <definedName name="IQ_EBITDA_OVER_TOTAL_IE" hidden="1">"c1371"</definedName>
    <definedName name="IQ_EBITDA_SBC_ACT_OR_EST_CIQ" hidden="1">"c4862"</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_CIQ" hidden="1">"c4875"</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BOTTOM_UP_CIQ" hidden="1">"c12026"</definedName>
    <definedName name="IQ_EPS_EST_CIQ" hidden="1">"c4994"</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HIGH_EST" hidden="1">"c1739"</definedName>
    <definedName name="IQ_EPS_GW_HIGH_EST_CIQ" hidden="1">"c4725"</definedName>
    <definedName name="IQ_EPS_GW_LOW_EST" hidden="1">"c1740"</definedName>
    <definedName name="IQ_EPS_GW_LOW_EST_CIQ" hidden="1">"c4726"</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RM" hidden="1">"c1902"</definedName>
    <definedName name="IQ_EPS_NORM_EST" hidden="1">"c2226"</definedName>
    <definedName name="IQ_EPS_NORM_EST_BOTTOM_UP_CIQ" hidden="1">"c12027"</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_CIQ" hidden="1">"c4901"</definedName>
    <definedName name="IQ_EPS_SBC_GW_ACT_OR_EST_CIQ" hidden="1">"c4905"</definedName>
    <definedName name="IQ_EPS_STDDEV_EST" hidden="1">"c403"</definedName>
    <definedName name="IQ_EPS_STDDEV_EST_CIQ" hidden="1">"c4993"</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WITHOUT_FAIR_VALUES_FFIEC" hidden="1">"c12846"</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OP_DEBT_GUARANTEED_FFIEC" hidden="1">"c12971"</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REV" hidden="1">"c2113"</definedName>
    <definedName name="IQ_EST_ACT_REV_CIQ" hidden="1">"c3666"</definedName>
    <definedName name="IQ_EST_CURRENCY" hidden="1">"c2140"</definedName>
    <definedName name="IQ_EST_CURRENCY_CIQ" hidden="1">"c4769"</definedName>
    <definedName name="IQ_EST_DATE" hidden="1">"c1634"</definedName>
    <definedName name="IQ_EST_DATE_CIQ" hidden="1">"c4770"</definedName>
    <definedName name="IQ_EST_EBITDA_DIFF" hidden="1">"c1867"</definedName>
    <definedName name="IQ_EST_EBITDA_DIFF_CIQ" hidden="1">"c3719"</definedName>
    <definedName name="IQ_EST_EBITDA_SURPRISE_PERCENT" hidden="1">"c1868"</definedName>
    <definedName name="IQ_EST_EBITDA_SURPRISE_PERCENT_CIQ" hidden="1">"c3720"</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URPRISE" hidden="1">"c1635"</definedName>
    <definedName name="IQ_EST_EPS_SURPRISE_PERCENT" hidden="1">"c1635"</definedName>
    <definedName name="IQ_EST_EPS_SURPRISE_PERCENT_CIQ" hidden="1">"c5000"</definedName>
    <definedName name="IQ_EST_FAIR_VALUE_MORT_SERVICING_ASSETS_FFIEC" hidden="1">"c12956"</definedName>
    <definedName name="IQ_EST_FOOTNOTE" hidden="1">"c4540"</definedName>
    <definedName name="IQ_EST_FOOTNOTE_CIQ" hidden="1">"c12022"</definedName>
    <definedName name="IQ_EST_REV_DIFF" hidden="1">"c1865"</definedName>
    <definedName name="IQ_EST_REV_DIFF_CIQ" hidden="1">"c3717"</definedName>
    <definedName name="IQ_EST_REV_SURPRISE_PERCENT" hidden="1">"c1866"</definedName>
    <definedName name="IQ_EST_REV_SURPRISE_PERCENT_CIQ" hidden="1">"c3718"</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998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FUNDS_SOLD" hidden="1">"c2256"</definedName>
    <definedName name="IQ_FEES_COMMISSIONS_BROKERAGE_FFIEC" hidden="1">"c13005"</definedName>
    <definedName name="IQ_FFO" hidden="1">"c1574"</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L_REC_FFIEC" hidden="1">"c12892"</definedName>
    <definedName name="IQ_FOREIGN_LOANS" hidden="1">"c448"</definedName>
    <definedName name="IQ_FOREIGN_LOANS_LEASES_FOREIGN_FFIEC" hidden="1">"c13478"</definedName>
    <definedName name="IQ_FQ" hidden="1">500</definedName>
    <definedName name="IQ_FUEL" hidden="1">"c449"</definedName>
    <definedName name="IQ_FULL_TIME" hidden="1">"c450"</definedName>
    <definedName name="IQ_FULLY_INSURED_DEPOSITS_FDIC" hidden="1">"c6487"</definedName>
    <definedName name="IQ_FUND_FEE_INC_NON_INT_INC_FFIEC" hidden="1">"c13493"</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ES_FDIC" hidden="1">"c6582"</definedName>
    <definedName name="IQ_INCOME_TAXES_FFIEC" hidden="1">"c13030"</definedName>
    <definedName name="IQ_INCREASE_INT_INCOME_FFIEC" hidden="1">"c13063"</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SECURED_RE_DOM_FFIEC" hidden="1">"c12977"</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ANGIBLES_NET" hidden="1">"c1407"</definedName>
    <definedName name="IQ_INTEREST_BEARING_BALANCES_FDIC" hidden="1">"c6371"</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ASSETS_FFIEC" hidden="1">"c12838"</definedName>
    <definedName name="IQ_MORTGAGE_SERVICING_FDIC" hidden="1">"c6335"</definedName>
    <definedName name="IQ_MULTI_RES_PROPERTIES_TRADING_DOM_FFIEC" hidden="1">"c12930"</definedName>
    <definedName name="IQ_MULTIFAMILY_LOANS_GROSS_LOANS_FFIEC" hidden="1">"c13404"</definedName>
    <definedName name="IQ_MULTIFAMILY_LOANS_RISK_BASED_FFIEC" hidden="1">"c13425"</definedName>
    <definedName name="IQ_MULTIFAMILY_RESIDENTIAL_LOANS_FDIC" hidden="1">"c6311"</definedName>
    <definedName name="IQ_MUNICIPAL_INVEST_SECURITIES_FFIEC" hidden="1">"c13459"</definedName>
    <definedName name="IQ_NAMES_REVISION_DATE_" hidden="1">40360.6140277778</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GATIVE_FAIR_VALUE_DERIVATIVES_BENEFICIARY_FFIEC" hidden="1">"c13124"</definedName>
    <definedName name="IQ_NEGATIVE_FAIR_VALUE_DERIVATIVES_GUARANTOR_FFIEC" hidden="1">"c13117"</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FFIEC" hidden="1">"c13034"</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_CIQ" hidden="1">"c5012"</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LOANS" hidden="1">"c796"</definedName>
    <definedName name="IQ_NON_CASH" hidden="1">"c1399"</definedName>
    <definedName name="IQ_NON_CASH_ITEMS" hidden="1">"c797"</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FIEC" hidden="1">"c12862"</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DING_ASSETS_FFIEC" hidden="1">"c12826"</definedName>
    <definedName name="IQ_OTHER_TRADING_ASSETS_TOTAL_FFIEC" hidden="1">"c12937"</definedName>
    <definedName name="IQ_OTHER_TRADING_LIABILITIES_FFIEC" hidden="1">"c12860"</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NORMALIZED" hidden="1">"c2207"</definedName>
    <definedName name="IQ_PE_RATIO" hidden="1">"c1610"</definedName>
    <definedName name="IQ_PEG_FWD" hidden="1">"c1863"</definedName>
    <definedName name="IQ_PEG_FWD_CIQ" hidden="1">"c4045"</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OPERATING_INC_AVG_ASSETS_FFIEC" hidden="1">"c13365"</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ALIFYING_MINORITY_INT_T1_FFIEC" hidden="1">"c13135"</definedName>
    <definedName name="IQ_QUALIFYING_SUB_DEBT_REDEEM_PREF_T2_FFIEC" hidden="1">"c13144"</definedName>
    <definedName name="IQ_QUALIFYING_TRUST_PREFERRED_T1_FFIEC" hidden="1">"c13136"</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BEFORE_LL_FFIEC" hidden="1">"c13018"</definedName>
    <definedName name="IQ_REVENUE_EST" hidden="1">"c1126"</definedName>
    <definedName name="IQ_REVENUE_EST_BOTTOM_UP_CIQ" hidden="1">"c12025"</definedName>
    <definedName name="IQ_REVENUE_EST_CIQ" hidden="1">"c3616"</definedName>
    <definedName name="IQ_REVENUE_HIGH_EST" hidden="1">"c1127"</definedName>
    <definedName name="IQ_REVENUE_HIGH_EST_CIQ" hidden="1">"c3618"</definedName>
    <definedName name="IQ_REVENUE_LOW_EST" hidden="1">"c1128"</definedName>
    <definedName name="IQ_REVENUE_LOW_EST_CIQ" hidden="1">"c3619"</definedName>
    <definedName name="IQ_REVENUE_MEDIAN_EST" hidden="1">"c1662"</definedName>
    <definedName name="IQ_REVENUE_MEDIAN_EST_CIQ" hidden="1">"c3617"</definedName>
    <definedName name="IQ_REVENUE_NUM_EST" hidden="1">"c1129"</definedName>
    <definedName name="IQ_REVENUE_NUM_EST_CIQ" hidden="1">"c3620"</definedName>
    <definedName name="IQ_REVISION_DATE_" hidden="1">39869.3536689815</definedName>
    <definedName name="IQ_REVOLVING_OPEN_END_1_4_TRADING_DOM_FFIEC" hidden="1">"c12927"</definedName>
    <definedName name="IQ_REVOLVING_SECURED_1_4_DUE_30_89_FFIEC" hidden="1">"c13260"</definedName>
    <definedName name="IQ_REVOLVING_SECURED_1_4_DUE_90_FFIEC" hidden="1">"c13288"</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FIEC" hidden="1">"c12867"</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TANGIBLE_EQUITY_ASSETS_FFIEC" hidden="1">"c13346"</definedName>
    <definedName name="IQ_TANGIBLE_TIER_1_LEVERAGE_FFIEC" hidden="1">"c13345"</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100K_OTHER_INSTITUTIONS_FFIEC" hidden="1">"c12953"</definedName>
    <definedName name="IQ_TIME_DEPOSITS_LESS_THAN_100K_FDIC" hidden="1">"c6465"</definedName>
    <definedName name="IQ_TIME_DEPOSITS_MORE_100K_OTHER_INSTITUTIONS_FFIEC" hidden="1">"c12954"</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DIC" hidden="1">"c6339"</definedName>
    <definedName name="IQ_TOTAL_ASSETS_FFIEC" hidden="1">"c12849"</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EPOSITS_FFIEC" hidden="1">"c13623"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LH_FFIEC" hidden="1">"c13109"</definedName>
    <definedName name="IQ_TOTAL_EQUITY_PC_FFIEC" hidden="1">"c13102"</definedName>
    <definedName name="IQ_TOTAL_EQUITY_SUBTOTAL_AP" hidden="1">"c8989"</definedName>
    <definedName name="IQ_TOTAL_INT_EXPENSE_FFIEC" hidden="1">"c13000"</definedName>
    <definedName name="IQ_TOTAL_INT_INCOME_FFIEC" hidden="1">"c12989"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DIC" hidden="1">"c6348"</definedName>
    <definedName name="IQ_TOTAL_LIABILITIES_FFIEC" hidden="1">"c12873"</definedName>
    <definedName name="IQ_TOTAL_LL_REC_DOM_FFIEC" hidden="1">"c12917"</definedName>
    <definedName name="IQ_TOTAL_LL_REC_FFIEC" hidden="1">"c12898"</definedName>
    <definedName name="IQ_TOTAL_LOANS" hidden="1">"c5653"</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RECOV_FFIEC" hidden="1">"c13208"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ISK_BASED_CAPITAL_FFIEC" hidden="1">"c13153"</definedName>
    <definedName name="IQ_TOTAL_RISK_BASED_CAPITAL_RATIO_FDIC" hidden="1">"c6747"</definedName>
    <definedName name="IQ_TOTAL_RISK_BASED_CAPITAL_RATIO_FFIEC" hidden="1">"c13162"</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TRADING_ASSETS_FFIEC" hidden="1">"c12939"</definedName>
    <definedName name="IQ_TOTAL_TRADING_LIAB_DOM_FFIEC" hidden="1">"c12944"</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OPERATING_INC_FFIEC" hidden="1">"c13385"</definedName>
    <definedName name="IQ_TRADING_REVENUE_FFIEC" hidden="1">"c13004"</definedName>
    <definedName name="IQ_TRANSACTION_ACCOUNTS_FDIC" hidden="1">"c6544"</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ob_Level_List">#REF!</definedName>
    <definedName name="JUN14_RAC_FA_list">#REF!</definedName>
    <definedName name="JUN15_RAC_FA_list">#REF!</definedName>
    <definedName name="k">#REF!</definedName>
    <definedName name="LA_1997">#REF!</definedName>
    <definedName name="LA_1998">#REF!</definedName>
    <definedName name="LA_1999">#REF!</definedName>
    <definedName name="la_2000">#REF!</definedName>
    <definedName name="LastFirst">#REF!</definedName>
    <definedName name="LOV_FinGlDesktopEntryPageDef_CurrencyCode" hidden="1">#REF!</definedName>
    <definedName name="LOV_FinGlDesktopEntryPageDef_HeaderAccountingPeriodList" hidden="1">#REF!</definedName>
    <definedName name="LOV_FinGlDesktopEntryPageDef_HeaderLedgerIdList" hidden="1">#REF!</definedName>
    <definedName name="LOV_FinGlDesktopEntryPageDef_HeaderReversalPeriodList" hidden="1">#REF!</definedName>
    <definedName name="LOV_FinGlDesktopEntryPageDef_HeaderSourceList" hidden="1">#REF!</definedName>
    <definedName name="LOV_FinGlDesktopEntryPageDef_UserCurrencyConversionType" hidden="1">#REF!</definedName>
    <definedName name="LOV_oracle_apps_financials_generalLedger_journals_desktopEntry_di_FinGlDesktopMultibatchEntryPageDef_CurrencyCode" hidden="1">#REF!</definedName>
    <definedName name="LOV_oracle_apps_financials_generalLedger_journals_desktopEntry_di_FinGlDesktopMultibatchEntryPageDef_LedgerId" hidden="1">#REF!</definedName>
    <definedName name="LOV_oracle_apps_financials_generalLedger_journals_desktopEntry_di_FinGlDesktopMultibatchEntryPageDef_PeriodName" hidden="1">#REF!</definedName>
    <definedName name="LOV_oracle_apps_financials_generalLedger_journals_desktopEntry_di_FinGlDesktopMultibatchEntryPageDef_ReversalPeriodName" hidden="1">#REF!</definedName>
    <definedName name="LOV_oracle_apps_financials_generalLedger_journals_desktopEntry_di_FinGlDesktopMultibatchEntryPageDef_UserCurrencyConversionType" hidden="1">#REF!</definedName>
    <definedName name="LOV_oracle_apps_financials_generalLedger_journals_desktopEntry_di_FinGlDesktopMultibatchEntryPageDef_UserJeSourceName" hidden="1">#REF!</definedName>
    <definedName name="MAR14_RAC_FA_list">#REF!</definedName>
    <definedName name="Max_Parking_Spaces">#REF!</definedName>
    <definedName name="MEX">#REF!</definedName>
    <definedName name="mincash">#REF!</definedName>
    <definedName name="Minimum_Cash_Balance">#REF!</definedName>
    <definedName name="Month_End">#REF!</definedName>
    <definedName name="MonthAllocation">#REF!</definedName>
    <definedName name="NOL">#REF!</definedName>
    <definedName name="one" hidden="1">#REF!,#REF!,#REF!,#REF!,#REF!,#REF!,#REF!</definedName>
    <definedName name="opcase">#REF!</definedName>
    <definedName name="Orig_Guid">#REF!</definedName>
    <definedName name="Overtime_Factor">#REF!</definedName>
    <definedName name="Ovetime_Factor">#REF!</definedName>
    <definedName name="Pct_Financed">#REF!</definedName>
    <definedName name="Period">#REF!</definedName>
    <definedName name="Period1">#REF!</definedName>
    <definedName name="Plan_Start">#REF!</definedName>
    <definedName name="Price_Discount_Factor">#REF!</definedName>
    <definedName name="PRINT_AR01">#REF!</definedName>
    <definedName name="_xlnm.Print_Area">#REF!</definedName>
    <definedName name="Print_Area_MI">#REF!</definedName>
    <definedName name="_xlnm.Print_Titles">#N/A</definedName>
    <definedName name="Priority">#REF!</definedName>
    <definedName name="pro">#REF!</definedName>
    <definedName name="pServer">#REF!</definedName>
    <definedName name="purchase?">#REF!</definedName>
    <definedName name="Rating">#REF!</definedName>
    <definedName name="recon_final">#REF!</definedName>
    <definedName name="Rent_Escalation">#REF!</definedName>
    <definedName name="Revenue_Detail">#REF!</definedName>
    <definedName name="Revenue_Summary_By_Market">#REF!</definedName>
    <definedName name="Revenue_Summary_By_Service">#REF!</definedName>
    <definedName name="RevLifts">#REF!</definedName>
    <definedName name="Revolver_Balance">#REF!</definedName>
    <definedName name="Revolver_Change">#REF!</definedName>
    <definedName name="Revolver_Interest_Rate">#REF!</definedName>
    <definedName name="roll_T_options?">#REF!</definedName>
    <definedName name="s">#REF!</definedName>
    <definedName name="SABRE_DTS_6205">#REF!</definedName>
    <definedName name="Sales_Year_1">#REF!</definedName>
    <definedName name="Sales_Year_2">#REF!</definedName>
    <definedName name="Sales_Year_3">#REF!</definedName>
    <definedName name="Sales_Year_4">#REF!</definedName>
    <definedName name="sfda" hidden="1">#REF!</definedName>
    <definedName name="SGA_Detail">#REF!</definedName>
    <definedName name="Sheet1">#REF!</definedName>
    <definedName name="SO_Rates">#REF!</definedName>
    <definedName name="Source">#REF!</definedName>
    <definedName name="Square_Footage_X80">#REF!</definedName>
    <definedName name="STORES">#REF!</definedName>
    <definedName name="StrCnt_Cur">#REF!</definedName>
    <definedName name="StrCnt_Guid">#REF!</definedName>
    <definedName name="stub">#REF!</definedName>
    <definedName name="Switch">#REF!</definedName>
    <definedName name="Synergies?">#REF!</definedName>
    <definedName name="TAB1136877249">#REF!</definedName>
    <definedName name="TAB1393926138">#REF!</definedName>
    <definedName name="Tactic_Prioritization">#REF!</definedName>
    <definedName name="target">#REF!</definedName>
    <definedName name="Tax_and_Shipping_Rate">#REF!</definedName>
    <definedName name="TCO">#REF!</definedName>
    <definedName name="Tech_Rates">#REF!</definedName>
    <definedName name="TextRefCopyRangeCount" hidden="1">1</definedName>
    <definedName name="TM1REBUILDOPTION">1</definedName>
    <definedName name="total">#REF!</definedName>
    <definedName name="TRAN">#REF!</definedName>
    <definedName name="US_Core_Resources">#REF!</definedName>
    <definedName name="US_Core_Service_Areas">#REF!</definedName>
    <definedName name="US_R10_Resources">#REF!</definedName>
    <definedName name="US_R10_Service_Areas">#REF!</definedName>
    <definedName name="Var_Cur">#REF!</definedName>
    <definedName name="Var_Guid">#REF!</definedName>
    <definedName name="Variance">#REF!</definedName>
    <definedName name="Vendor_Table">#REF!</definedName>
    <definedName name="weqw">#REF!</definedName>
    <definedName name="Work_Weeks_Per_Year">#REF!</definedName>
    <definedName name="wq">#REF!</definedName>
    <definedName name="XALLDOMESTIC">#REF!</definedName>
    <definedName name="Xbrl_Tag_0130b444_7ee5_496e_82dc_e37c98c0f737" hidden="1">#REF!</definedName>
    <definedName name="Xbrl_Tag_034edd42_874e_4c6e_ba54_38ddedbb9e08" hidden="1">#REF!</definedName>
    <definedName name="Xbrl_Tag_049e9e46_ecab_468f_a09f_59da0a474c51" hidden="1">#REF!</definedName>
    <definedName name="Xbrl_Tag_04ecc774_d1fd_488e_b762_eec158284fee" hidden="1">#REF!</definedName>
    <definedName name="Xbrl_Tag_072fb0bc_2ac7_4bff_aeb5_05a963e1cb44" hidden="1">#REF!</definedName>
    <definedName name="Xbrl_Tag_07730766_e702_495e_b7d1_75bc4661592c" hidden="1">#REF!</definedName>
    <definedName name="Xbrl_Tag_0aae2406_2bb8_40fd_b99a_fb2e37cd712e" hidden="1">#REF!</definedName>
    <definedName name="Xbrl_Tag_0b648a83_a062_4992_8587_2f80e3c772a7" hidden="1">#REF!</definedName>
    <definedName name="Xbrl_Tag_0b6ab91f_5f05_492c_8d3a_05277fb4a911" hidden="1">#REF!</definedName>
    <definedName name="Xbrl_Tag_0c1c277a_60a4_4842_8f82_96d02855c34f" hidden="1">#REF!</definedName>
    <definedName name="Xbrl_Tag_0d53aa79_d403_4723_92cf_8bc2695f040e" hidden="1">#REF!</definedName>
    <definedName name="Xbrl_Tag_1203326e_5a09_4eee_bb24_7eaa1a0fd202" hidden="1">#REF!</definedName>
    <definedName name="Xbrl_Tag_1f27e415_1388_430a_bca6_7cd18f459174" hidden="1">#REF!</definedName>
    <definedName name="Xbrl_Tag_1f695661_56f4_4f00_bc2c_929f1eb4b817" hidden="1">#REF!</definedName>
    <definedName name="Xbrl_Tag_2083148f_3b71_4ef2_ae94_7227a1f336e0" hidden="1">#REF!</definedName>
    <definedName name="Xbrl_Tag_24555595_2b9a_4547_b51b_e47a8b8b9ce0" hidden="1">#REF!</definedName>
    <definedName name="Xbrl_Tag_255ec08c_ff52_4774_a212_83a729b19410" hidden="1">#REF!</definedName>
    <definedName name="Xbrl_Tag_271fd59c_9f42_43ef_a459_7868cad47884" hidden="1">#REF!</definedName>
    <definedName name="Xbrl_Tag_31848172_23f0_44dd_b5a3_ce938f7aa867" hidden="1">#REF!</definedName>
    <definedName name="Xbrl_Tag_32d2162f_c6c2_45c0_a490_a5f2091f1008" hidden="1">#REF!</definedName>
    <definedName name="Xbrl_Tag_32f96701_8d7c_4e46_92d5_71b7832d3c83" hidden="1">#REF!</definedName>
    <definedName name="Xbrl_Tag_35dd31f0_688c_4737_bc5a_a0ab534cb316" hidden="1">#REF!</definedName>
    <definedName name="Xbrl_Tag_36004d31_2c83_40ec_af83_05989be020ec" hidden="1">#REF!</definedName>
    <definedName name="Xbrl_Tag_3b208ba4_c9a5_4834_9004_fd8d10d9731b" hidden="1">#REF!</definedName>
    <definedName name="Xbrl_Tag_41bbd80b_df8d_4562_9828_549e66e0db45" hidden="1">#REF!</definedName>
    <definedName name="Xbrl_Tag_424dccc3_8b7c_4034_a851_c793b4bf56bc" hidden="1">#REF!</definedName>
    <definedName name="Xbrl_Tag_42a3cb71_3570_41c2_a7d1_aff3d240bf28" hidden="1">#REF!</definedName>
    <definedName name="Xbrl_Tag_42ba9b87_f051_4241_ab80_d2dde9687f22" hidden="1">#REF!</definedName>
    <definedName name="Xbrl_Tag_4e4737a1_a252_4892_9bef_791feace5841" hidden="1">#REF!</definedName>
    <definedName name="Xbrl_Tag_4f73db38_142e_4431_8517_d9af982bcbb8" hidden="1">#REF!</definedName>
    <definedName name="Xbrl_Tag_50f04823_fb10_467f_8c5b_45f27201b097" hidden="1">#REF!</definedName>
    <definedName name="Xbrl_Tag_533a26e3_0374_4409_9132_3a39f7a3a1a2" hidden="1">#REF!</definedName>
    <definedName name="Xbrl_Tag_56adfe1f_ee95_4b5f_98bb_915007ff96ba" hidden="1">#REF!</definedName>
    <definedName name="Xbrl_Tag_5b7f455e_f143_4c1e_8d13_8b201bd419c8" hidden="1">#REF!</definedName>
    <definedName name="Xbrl_Tag_6695e4cf_24b8_4967_b172_488ea7900543" hidden="1">#REF!</definedName>
    <definedName name="Xbrl_Tag_67a49f20_737f_4fbc_b56d_a45095d80b3b" hidden="1">#REF!</definedName>
    <definedName name="Xbrl_Tag_69295491_30e5_47f2_87e1_02d7f463f2d4" hidden="1">#REF!</definedName>
    <definedName name="Xbrl_Tag_6c9cf1b4_aeca_4604_8c08_d8eda20e17da" hidden="1">#REF!</definedName>
    <definedName name="Xbrl_Tag_6d9d762e_2816_4d31_97fe_990c82ba12ab" hidden="1">#REF!</definedName>
    <definedName name="Xbrl_Tag_6faedb6b_1094_4f46_9443_c2601dca0ba7" hidden="1">#REF!</definedName>
    <definedName name="Xbrl_Tag_70cf23ac_0cf2_4a94_9251_c97363ac1708" hidden="1">#REF!</definedName>
    <definedName name="Xbrl_Tag_7129bf51_69e1_487a_bd5a_f793b51dc723" hidden="1">#REF!</definedName>
    <definedName name="Xbrl_Tag_725116f9_b74c_4080_b2df_ff99b1999551" hidden="1">#REF!</definedName>
    <definedName name="Xbrl_Tag_7292adf6_41dc_4abb_8383_c59eb58b79b7" hidden="1">#REF!</definedName>
    <definedName name="Xbrl_Tag_74e2c79e_ecc6_4783_8f6f_61b00f1695dd" hidden="1">#REF!</definedName>
    <definedName name="Xbrl_Tag_75495a16_71b4_4ef5_b2f9_92eec54bac03" hidden="1">#REF!</definedName>
    <definedName name="Xbrl_Tag_77f1dee4_8029_4993_be8f_b086be829d61" hidden="1">#REF!</definedName>
    <definedName name="Xbrl_Tag_7e0b5e18_e8ec_43af_9704_23a3021b2a6e" hidden="1">#REF!</definedName>
    <definedName name="Xbrl_Tag_7e574f92_a779_4f46_bfda_fc00061d40d3" hidden="1">#REF!</definedName>
    <definedName name="Xbrl_Tag_8edf2295_bd67_4fe6_ace5_9163d802545f" hidden="1">#REF!</definedName>
    <definedName name="Xbrl_Tag_922a9583_ee0b_44b8_acfb_ada4f7ee57f8" hidden="1">#REF!</definedName>
    <definedName name="Xbrl_Tag_9452e6a9_5555_4a78_9f21_8e203d4084d6" hidden="1">#REF!</definedName>
    <definedName name="Xbrl_Tag_96265fe5_f9c5_4975_81db_83ba07a13e50" hidden="1">#REF!</definedName>
    <definedName name="Xbrl_Tag_97ac1c09_92f1_4ca5_86b4_304363649374" hidden="1">#REF!</definedName>
    <definedName name="Xbrl_Tag_a5b1578f_c856_4ffe_991c_8774fcb36a8f" hidden="1">#REF!</definedName>
    <definedName name="Xbrl_Tag_a5d303ac_6cd6_4630_872a_6a2d58b90e55" hidden="1">#REF!</definedName>
    <definedName name="Xbrl_Tag_a6a008b6_b3d9_471a_8208_4abf82b376e5" hidden="1">#REF!</definedName>
    <definedName name="Xbrl_Tag_a79a5e2c_c8e5_44bf_99e0_7b08e1fa6ac6" hidden="1">#REF!</definedName>
    <definedName name="Xbrl_Tag_a87f7cb2_29bc_43e5_ad60_8a05cdff7c46" hidden="1">#REF!</definedName>
    <definedName name="Xbrl_Tag_acb564a5_8c06_4e30_a521_2fa25f1ace0c" hidden="1">#REF!</definedName>
    <definedName name="Xbrl_Tag_ad273f81_4210_4daa_9997_2e096f66f5a3" hidden="1">#REF!</definedName>
    <definedName name="Xbrl_Tag_b2f679c5_8d66_421b_aea0_fa01586448f3" hidden="1">#REF!</definedName>
    <definedName name="Xbrl_Tag_bdde9e64_47a5_4ab0_ae91_48b5f6d31703" hidden="1">#REF!</definedName>
    <definedName name="Xbrl_Tag_c38c9a58_72b8_4c8f_b0f5_561e3bcf5a62" hidden="1">#REF!</definedName>
    <definedName name="Xbrl_Tag_c808baad_9823_41bd_895a_3f4a9552adba" hidden="1">#REF!</definedName>
    <definedName name="Xbrl_Tag_c93a3111_1ed1_44f8_a607_86885857fb84" hidden="1">#REF!</definedName>
    <definedName name="Xbrl_Tag_c9a1b4af_f110_4e45_956d_42c0a077558d" hidden="1">#REF!</definedName>
    <definedName name="Xbrl_Tag_cbd92e17_2ba7_43fa_89ec_eb70c646e8b2" hidden="1">#REF!</definedName>
    <definedName name="Xbrl_Tag_d53c353a_9511_406c_88d3_e964f9e92cd6" hidden="1">#REF!</definedName>
    <definedName name="Xbrl_Tag_d58ac8bb_c4e1_4aec_a1ad_3a37b8dc75c4" hidden="1">#REF!</definedName>
    <definedName name="Xbrl_Tag_d642cf0b_ed2e_4829_8d4b_f3b69bb8cf67" hidden="1">#REF!</definedName>
    <definedName name="Xbrl_Tag_d6b27ce6_5691_4480_981a_92bc4f71510e" hidden="1">#REF!</definedName>
    <definedName name="Xbrl_Tag_d762bd0f_b6a7_4f92_9019_0832e19567b3" hidden="1">#REF!</definedName>
    <definedName name="Xbrl_Tag_d7a4da7f_19f4_4d91_8266_0ddd875e31ea" hidden="1">#REF!</definedName>
    <definedName name="Xbrl_Tag_d9993163_b4ea_4654_80df_828f4915583e" hidden="1">#REF!</definedName>
    <definedName name="Xbrl_Tag_dcd223e7_204b_474e_8565_e56db01621ba" hidden="1">#REF!</definedName>
    <definedName name="Xbrl_Tag_ea1d75c4_f32b_41c5_8961_42b7e24f7a96" hidden="1">#REF!</definedName>
    <definedName name="Xbrl_Tag_ee575de3_f916_419a_8808_a4197fff311c" hidden="1">#REF!</definedName>
    <definedName name="Xbrl_Tag_f2921084_b984_4b6b_ad33_962e04d53291" hidden="1">#REF!</definedName>
    <definedName name="Xbrl_Tag_f5db0f8e_90ff_48b3_928e_44a575d931a8" hidden="1">#REF!</definedName>
    <definedName name="Xbrl_Tag_f5dbb137_4346_4c87_83a9_e04a01200b8c" hidden="1">#REF!</definedName>
    <definedName name="Xbrl_Tag_f9990e76_9d6d_4077_900a_1eaf5201ea4d" hidden="1">#REF!</definedName>
    <definedName name="Xbrl_Tag_fedb21e8_2df8_477b_8af0_bf1e0d3f241a" hidden="1">#REF!</definedName>
    <definedName name="Xbrl_Tag_fff672db_d41c_4290_bcba_755fcef611be" hidden="1">#REF!</definedName>
    <definedName name="XFD">#REF!</definedName>
    <definedName name="XREF_COLUMN_1" hidden="1">#REF!</definedName>
    <definedName name="XREF_COLUMN_10" hidden="1">#REF!</definedName>
    <definedName name="XREF_COLUMN_11"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11</definedName>
    <definedName name="XRefCopy1" hidden="1">#REF!</definedName>
    <definedName name="XRefCopy1Row" hidden="1">#REF!</definedName>
    <definedName name="XRefCopy2" hidden="1">#REF!</definedName>
    <definedName name="XRefCopy2Row" hidden="1">#REF!</definedName>
    <definedName name="XRefCopyRangeCount" hidden="1">2</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19</definedName>
    <definedName name="xx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Q2" i="1"/>
  <c r="R3" i="1"/>
  <c r="Q3" i="1"/>
  <c r="R4" i="1"/>
  <c r="Q4" i="1"/>
  <c r="R5" i="1"/>
  <c r="Q5" i="1"/>
  <c r="R6" i="1"/>
  <c r="Q6" i="1"/>
  <c r="R7" i="1"/>
  <c r="Q7" i="1"/>
  <c r="R8" i="1"/>
  <c r="Q8" i="1"/>
  <c r="R9" i="1"/>
  <c r="Q9" i="1"/>
  <c r="R10" i="1"/>
  <c r="Q10" i="1"/>
  <c r="R11" i="1"/>
  <c r="Q11" i="1"/>
  <c r="R12" i="1"/>
  <c r="Q12" i="1"/>
  <c r="R13" i="1"/>
  <c r="Q13" i="1"/>
  <c r="R14" i="1"/>
  <c r="Q14" i="1"/>
  <c r="R15" i="1"/>
  <c r="Q15" i="1"/>
  <c r="R16" i="1"/>
  <c r="Q16" i="1"/>
  <c r="R17" i="1"/>
  <c r="Q17" i="1"/>
  <c r="R18" i="1"/>
  <c r="Q18" i="1"/>
  <c r="R19" i="1"/>
  <c r="Q19" i="1"/>
  <c r="R20" i="1"/>
  <c r="Q20" i="1"/>
  <c r="R21" i="1"/>
  <c r="Q21" i="1"/>
  <c r="R22" i="1"/>
  <c r="Q22" i="1"/>
  <c r="R23" i="1"/>
  <c r="Q23" i="1"/>
  <c r="R24" i="1"/>
  <c r="Q24" i="1"/>
  <c r="R25" i="1"/>
  <c r="Q25" i="1"/>
  <c r="R26" i="1"/>
  <c r="Q26" i="1"/>
  <c r="R27" i="1"/>
  <c r="Q27" i="1"/>
  <c r="R28" i="1"/>
  <c r="Q28" i="1"/>
  <c r="R29" i="1"/>
  <c r="Q29" i="1"/>
  <c r="R30" i="1"/>
  <c r="Q30" i="1"/>
  <c r="R31" i="1"/>
  <c r="Q31" i="1"/>
  <c r="R32" i="1"/>
  <c r="Q32" i="1"/>
  <c r="R33" i="1"/>
  <c r="Q33" i="1"/>
  <c r="R34" i="1"/>
  <c r="Q34" i="1"/>
  <c r="R35" i="1"/>
  <c r="Q35" i="1"/>
  <c r="R36" i="1"/>
  <c r="Q36" i="1"/>
  <c r="R37" i="1"/>
  <c r="Q37" i="1"/>
  <c r="R38" i="1"/>
  <c r="Q38" i="1"/>
  <c r="R39" i="1"/>
  <c r="Q39" i="1"/>
  <c r="R40" i="1"/>
  <c r="Q40" i="1"/>
  <c r="R41" i="1"/>
  <c r="Q41" i="1"/>
  <c r="R42" i="1"/>
  <c r="Q42" i="1"/>
  <c r="R43" i="1"/>
  <c r="Q43" i="1"/>
  <c r="R44" i="1"/>
  <c r="Q44" i="1"/>
  <c r="R45" i="1"/>
  <c r="Q45" i="1"/>
  <c r="R46" i="1"/>
  <c r="Q46" i="1"/>
  <c r="R47" i="1"/>
  <c r="Q47" i="1"/>
  <c r="R48" i="1"/>
  <c r="Q48" i="1"/>
  <c r="R49" i="1"/>
  <c r="Q49" i="1"/>
  <c r="R50" i="1"/>
  <c r="Q50" i="1"/>
  <c r="R51" i="1"/>
  <c r="Q51" i="1"/>
  <c r="R52" i="1"/>
  <c r="Q52" i="1"/>
  <c r="R53" i="1"/>
  <c r="Q53" i="1"/>
  <c r="R54" i="1"/>
  <c r="Q54" i="1"/>
  <c r="R55" i="1"/>
  <c r="Q55" i="1"/>
  <c r="R56" i="1"/>
  <c r="Q56" i="1"/>
  <c r="R57" i="1"/>
  <c r="Q57" i="1"/>
  <c r="R58" i="1"/>
  <c r="Q58" i="1"/>
  <c r="R59" i="1"/>
  <c r="Q59" i="1"/>
  <c r="R60" i="1"/>
  <c r="Q60" i="1"/>
  <c r="R61" i="1"/>
  <c r="Q61" i="1"/>
  <c r="R62" i="1"/>
  <c r="Q62" i="1"/>
  <c r="R63" i="1"/>
  <c r="Q63" i="1"/>
  <c r="R64" i="1"/>
  <c r="Q64" i="1"/>
  <c r="R65" i="1"/>
  <c r="Q65" i="1"/>
  <c r="R66" i="1"/>
  <c r="Q66" i="1"/>
  <c r="R67" i="1"/>
  <c r="Q67" i="1"/>
  <c r="R68" i="1"/>
  <c r="Q68" i="1"/>
  <c r="R69" i="1"/>
  <c r="Q69" i="1"/>
  <c r="R70" i="1"/>
  <c r="Q70" i="1"/>
  <c r="R71" i="1"/>
  <c r="Q71" i="1"/>
  <c r="R72" i="1"/>
  <c r="Q72" i="1"/>
  <c r="R73" i="1"/>
  <c r="Q73" i="1"/>
  <c r="R74" i="1"/>
  <c r="Q74" i="1"/>
  <c r="R75" i="1"/>
  <c r="Q75" i="1"/>
  <c r="R76" i="1"/>
  <c r="Q76" i="1"/>
  <c r="R77" i="1"/>
  <c r="Q77" i="1"/>
  <c r="R78" i="1"/>
  <c r="Q78" i="1"/>
  <c r="R79" i="1"/>
  <c r="Q79" i="1"/>
  <c r="R80" i="1"/>
  <c r="Q80" i="1"/>
  <c r="R81" i="1"/>
  <c r="Q81" i="1"/>
  <c r="R82" i="1"/>
  <c r="Q82" i="1"/>
  <c r="R83" i="1"/>
  <c r="Q83" i="1"/>
  <c r="R84" i="1"/>
  <c r="Q84" i="1"/>
  <c r="R85" i="1"/>
  <c r="Q85" i="1"/>
  <c r="R86" i="1"/>
  <c r="Q86" i="1"/>
  <c r="R87" i="1"/>
  <c r="Q87" i="1"/>
  <c r="R88" i="1"/>
  <c r="Q88" i="1"/>
  <c r="R89" i="1"/>
  <c r="Q89" i="1"/>
  <c r="R90" i="1"/>
  <c r="Q90" i="1"/>
  <c r="R91" i="1"/>
  <c r="Q91" i="1"/>
  <c r="R92" i="1"/>
  <c r="Q92" i="1"/>
  <c r="R93" i="1"/>
  <c r="Q93" i="1"/>
  <c r="R94" i="1"/>
  <c r="Q94" i="1"/>
  <c r="R95" i="1"/>
  <c r="Q95" i="1"/>
  <c r="R96" i="1"/>
  <c r="Q96" i="1"/>
  <c r="R97" i="1"/>
  <c r="Q97" i="1"/>
  <c r="R98" i="1"/>
  <c r="Q98" i="1"/>
  <c r="R99" i="1"/>
  <c r="Q99" i="1"/>
  <c r="R100" i="1"/>
  <c r="Q100" i="1"/>
  <c r="R101" i="1"/>
  <c r="Q101" i="1"/>
  <c r="R102" i="1"/>
  <c r="Q102" i="1"/>
  <c r="R103" i="1"/>
  <c r="Q103" i="1"/>
  <c r="R104" i="1"/>
  <c r="Q104" i="1"/>
  <c r="R105" i="1"/>
  <c r="Q105" i="1"/>
  <c r="R106" i="1"/>
  <c r="Q106" i="1"/>
  <c r="R107" i="1"/>
  <c r="Q107" i="1"/>
  <c r="R108" i="1"/>
  <c r="Q108" i="1"/>
  <c r="R109" i="1"/>
  <c r="Q109" i="1"/>
  <c r="R110" i="1"/>
  <c r="Q110" i="1"/>
  <c r="R111" i="1"/>
  <c r="Q111" i="1"/>
  <c r="R112" i="1"/>
  <c r="Q112" i="1"/>
  <c r="R113" i="1"/>
  <c r="Q113" i="1"/>
  <c r="R114" i="1"/>
  <c r="Q114" i="1"/>
  <c r="R115" i="1"/>
  <c r="Q115" i="1"/>
  <c r="R116" i="1"/>
  <c r="Q116" i="1"/>
  <c r="R117" i="1"/>
  <c r="Q117" i="1"/>
  <c r="R118" i="1"/>
  <c r="Q118" i="1"/>
  <c r="R119" i="1"/>
  <c r="Q119" i="1"/>
  <c r="R120" i="1"/>
  <c r="Q120" i="1"/>
  <c r="R121" i="1"/>
  <c r="Q121" i="1"/>
  <c r="R122" i="1"/>
  <c r="Q122" i="1"/>
  <c r="R123" i="1"/>
  <c r="Q123" i="1"/>
  <c r="R124" i="1"/>
  <c r="Q124" i="1"/>
  <c r="R125" i="1"/>
  <c r="Q125" i="1"/>
  <c r="R126" i="1"/>
  <c r="Q126" i="1"/>
  <c r="R127" i="1"/>
  <c r="Q127" i="1"/>
  <c r="R128" i="1"/>
  <c r="Q128" i="1"/>
  <c r="R129" i="1"/>
  <c r="Q129" i="1"/>
  <c r="R130" i="1"/>
  <c r="Q130" i="1"/>
  <c r="R131" i="1"/>
  <c r="Q131" i="1"/>
  <c r="R132" i="1"/>
  <c r="Q132" i="1"/>
  <c r="R133" i="1"/>
  <c r="Q133" i="1"/>
  <c r="R134" i="1"/>
  <c r="Q134" i="1"/>
  <c r="R135" i="1"/>
  <c r="Q135" i="1"/>
  <c r="R136" i="1"/>
  <c r="Q136" i="1"/>
  <c r="R137" i="1"/>
  <c r="Q137" i="1"/>
  <c r="R138" i="1"/>
  <c r="Q138" i="1"/>
  <c r="R139" i="1"/>
  <c r="Q139" i="1"/>
  <c r="R140" i="1"/>
  <c r="Q140" i="1"/>
  <c r="R141" i="1"/>
  <c r="Q141" i="1"/>
  <c r="R142" i="1"/>
  <c r="Q142" i="1"/>
  <c r="R143" i="1"/>
  <c r="Q143" i="1"/>
  <c r="R144" i="1"/>
  <c r="Q144" i="1"/>
  <c r="R145" i="1"/>
  <c r="Q145" i="1"/>
  <c r="R146" i="1"/>
  <c r="Q146" i="1"/>
  <c r="R147" i="1"/>
  <c r="Q147" i="1"/>
  <c r="R148" i="1"/>
  <c r="Q148" i="1"/>
  <c r="R149" i="1"/>
  <c r="Q149" i="1"/>
  <c r="R150" i="1"/>
  <c r="Q150" i="1"/>
  <c r="R151" i="1"/>
  <c r="Q151" i="1"/>
  <c r="R152" i="1"/>
  <c r="Q152" i="1"/>
  <c r="R153" i="1"/>
  <c r="Q153" i="1"/>
  <c r="R154" i="1"/>
  <c r="Q154" i="1"/>
  <c r="R155" i="1"/>
  <c r="Q155" i="1"/>
  <c r="R156" i="1"/>
  <c r="Q156" i="1"/>
  <c r="R157" i="1"/>
  <c r="Q157" i="1"/>
  <c r="R158" i="1"/>
  <c r="Q158" i="1"/>
  <c r="R159" i="1"/>
  <c r="Q159" i="1"/>
  <c r="R160" i="1"/>
  <c r="Q160" i="1"/>
  <c r="R161" i="1"/>
  <c r="Q161" i="1"/>
  <c r="R162" i="1"/>
  <c r="Q162" i="1"/>
  <c r="R163" i="1"/>
  <c r="Q163" i="1"/>
  <c r="R164" i="1"/>
  <c r="Q164" i="1"/>
  <c r="R165" i="1"/>
  <c r="Q165" i="1"/>
  <c r="R166" i="1"/>
  <c r="Q166" i="1"/>
  <c r="R167" i="1"/>
  <c r="Q167" i="1"/>
  <c r="R168" i="1"/>
  <c r="Q168" i="1"/>
  <c r="R169" i="1"/>
  <c r="Q169" i="1"/>
  <c r="R170" i="1"/>
  <c r="Q170" i="1"/>
  <c r="R171" i="1"/>
  <c r="Q171" i="1"/>
  <c r="R172" i="1"/>
  <c r="Q172" i="1"/>
  <c r="R173" i="1"/>
  <c r="Q173" i="1"/>
  <c r="R174" i="1"/>
  <c r="Q174" i="1"/>
  <c r="R175" i="1"/>
  <c r="Q175" i="1"/>
  <c r="R176" i="1"/>
  <c r="Q176" i="1"/>
  <c r="R177" i="1"/>
  <c r="Q177" i="1"/>
  <c r="R178" i="1"/>
  <c r="Q178" i="1"/>
  <c r="R179" i="1"/>
  <c r="Q179" i="1"/>
  <c r="R180" i="1"/>
  <c r="Q180" i="1"/>
  <c r="R181" i="1"/>
  <c r="Q181" i="1"/>
  <c r="R182" i="1"/>
  <c r="Q182" i="1"/>
  <c r="R183" i="1"/>
  <c r="Q183" i="1"/>
  <c r="R184" i="1"/>
  <c r="Q184" i="1"/>
  <c r="R185" i="1"/>
  <c r="Q185" i="1"/>
  <c r="R186" i="1"/>
  <c r="Q186" i="1"/>
  <c r="R187" i="1"/>
  <c r="Q187" i="1"/>
  <c r="R188" i="1"/>
  <c r="Q188" i="1"/>
  <c r="R189" i="1"/>
  <c r="Q189" i="1"/>
  <c r="R190" i="1"/>
  <c r="Q190" i="1"/>
  <c r="R191" i="1"/>
  <c r="Q191" i="1"/>
  <c r="R192" i="1"/>
  <c r="Q192" i="1"/>
  <c r="R193" i="1"/>
  <c r="Q193" i="1"/>
  <c r="R194" i="1"/>
  <c r="Q194" i="1"/>
  <c r="R195" i="1"/>
  <c r="Q195" i="1"/>
  <c r="R196" i="1"/>
  <c r="Q196" i="1"/>
  <c r="R197" i="1"/>
  <c r="Q197" i="1"/>
  <c r="R198" i="1"/>
  <c r="Q198" i="1"/>
  <c r="R199" i="1"/>
  <c r="Q199" i="1"/>
  <c r="R200" i="1"/>
  <c r="Q200" i="1"/>
  <c r="R201" i="1"/>
  <c r="Q201" i="1"/>
  <c r="R202" i="1"/>
  <c r="Q202" i="1"/>
  <c r="R203" i="1"/>
  <c r="Q203" i="1"/>
  <c r="R204" i="1"/>
  <c r="Q204" i="1"/>
  <c r="R205" i="1"/>
  <c r="Q205" i="1"/>
  <c r="R206" i="1"/>
  <c r="Q206" i="1"/>
  <c r="R207" i="1"/>
  <c r="Q207" i="1"/>
  <c r="R208" i="1"/>
  <c r="Q208" i="1"/>
  <c r="R209" i="1"/>
  <c r="Q209" i="1"/>
  <c r="R210" i="1"/>
  <c r="Q210" i="1"/>
  <c r="R211" i="1"/>
  <c r="Q211" i="1"/>
  <c r="R212" i="1"/>
  <c r="Q212" i="1"/>
  <c r="R213" i="1"/>
  <c r="Q213" i="1"/>
  <c r="R214" i="1"/>
  <c r="Q214" i="1"/>
  <c r="R215" i="1"/>
  <c r="Q215" i="1"/>
  <c r="R216" i="1"/>
  <c r="Q216" i="1"/>
  <c r="R217" i="1"/>
  <c r="Q217" i="1"/>
  <c r="R218" i="1"/>
  <c r="Q218" i="1"/>
  <c r="R219" i="1"/>
  <c r="Q219" i="1"/>
  <c r="R220" i="1"/>
  <c r="Q220" i="1"/>
  <c r="R221" i="1"/>
  <c r="Q221" i="1"/>
  <c r="R222" i="1"/>
  <c r="Q222" i="1"/>
  <c r="R223" i="1"/>
  <c r="Q223" i="1"/>
  <c r="R224" i="1"/>
  <c r="Q224" i="1"/>
  <c r="R225" i="1"/>
  <c r="Q225" i="1"/>
  <c r="R226" i="1"/>
  <c r="Q226" i="1"/>
  <c r="R227" i="1"/>
  <c r="Q227" i="1"/>
  <c r="R228" i="1"/>
  <c r="Q228" i="1"/>
  <c r="R229" i="1"/>
  <c r="Q229" i="1"/>
  <c r="R230" i="1"/>
  <c r="Q230" i="1"/>
  <c r="R231" i="1"/>
  <c r="Q231" i="1"/>
  <c r="R232" i="1"/>
  <c r="Q232" i="1"/>
  <c r="R233" i="1"/>
  <c r="Q233" i="1"/>
  <c r="R234" i="1"/>
  <c r="Q234" i="1"/>
  <c r="R235" i="1"/>
  <c r="Q235" i="1"/>
  <c r="R236" i="1"/>
  <c r="Q236" i="1"/>
  <c r="R237" i="1"/>
  <c r="Q237" i="1"/>
  <c r="R238" i="1"/>
  <c r="Q238" i="1"/>
  <c r="R239" i="1"/>
  <c r="Q239" i="1"/>
  <c r="R240" i="1"/>
  <c r="Q240" i="1"/>
  <c r="R241" i="1"/>
  <c r="Q241" i="1"/>
  <c r="R242" i="1"/>
  <c r="Q242" i="1"/>
  <c r="R243" i="1"/>
  <c r="Q243" i="1"/>
  <c r="R244" i="1"/>
  <c r="Q244" i="1"/>
  <c r="R245" i="1"/>
  <c r="Q245" i="1"/>
  <c r="R246" i="1"/>
  <c r="Q246" i="1"/>
  <c r="R247" i="1"/>
  <c r="Q247" i="1"/>
  <c r="R248" i="1"/>
  <c r="Q248" i="1"/>
  <c r="R249" i="1"/>
  <c r="Q249" i="1"/>
  <c r="R250" i="1"/>
  <c r="Q250" i="1"/>
  <c r="R251" i="1"/>
  <c r="Q251" i="1"/>
  <c r="R252" i="1"/>
  <c r="Q252" i="1"/>
  <c r="R253" i="1"/>
  <c r="Q253" i="1"/>
  <c r="R254" i="1"/>
  <c r="Q254" i="1"/>
  <c r="R255" i="1"/>
  <c r="Q255" i="1"/>
  <c r="R256" i="1"/>
  <c r="Q256" i="1"/>
  <c r="R257" i="1"/>
  <c r="Q257" i="1"/>
  <c r="R258" i="1"/>
  <c r="Q258" i="1"/>
  <c r="R259" i="1"/>
  <c r="Q259" i="1"/>
  <c r="R260" i="1"/>
  <c r="Q260" i="1"/>
  <c r="R261" i="1"/>
  <c r="Q261" i="1"/>
  <c r="R262" i="1"/>
  <c r="Q262" i="1"/>
  <c r="R263" i="1"/>
  <c r="Q263" i="1"/>
  <c r="R264" i="1"/>
  <c r="Q264" i="1"/>
  <c r="R265" i="1"/>
  <c r="Q265" i="1"/>
  <c r="R266" i="1"/>
  <c r="Q266" i="1"/>
  <c r="R267" i="1"/>
  <c r="Q267" i="1"/>
  <c r="R268" i="1"/>
  <c r="Q268" i="1"/>
  <c r="R269" i="1"/>
  <c r="Q269" i="1"/>
  <c r="R270" i="1"/>
  <c r="Q270" i="1"/>
  <c r="R271" i="1"/>
  <c r="Q271" i="1"/>
  <c r="R272" i="1"/>
  <c r="Q272" i="1"/>
  <c r="R273" i="1"/>
  <c r="Q273" i="1"/>
  <c r="R274" i="1"/>
  <c r="Q274" i="1"/>
  <c r="R275" i="1"/>
  <c r="Q275" i="1"/>
  <c r="R276" i="1"/>
  <c r="Q276" i="1"/>
  <c r="R277" i="1"/>
  <c r="Q277" i="1"/>
  <c r="R278" i="1"/>
  <c r="Q278" i="1"/>
  <c r="R279" i="1"/>
  <c r="Q279" i="1"/>
  <c r="R280" i="1"/>
  <c r="Q280" i="1"/>
  <c r="R281" i="1"/>
  <c r="Q281" i="1"/>
  <c r="R282" i="1"/>
  <c r="Q282" i="1"/>
  <c r="R283" i="1"/>
  <c r="Q283" i="1"/>
  <c r="R284" i="1"/>
  <c r="Q284" i="1"/>
  <c r="R285" i="1"/>
  <c r="Q285" i="1"/>
  <c r="R286" i="1"/>
  <c r="Q286" i="1"/>
  <c r="R287" i="1"/>
  <c r="Q287" i="1"/>
  <c r="R288" i="1"/>
  <c r="Q288" i="1"/>
  <c r="R289" i="1"/>
  <c r="Q289" i="1"/>
  <c r="R290" i="1"/>
  <c r="Q290" i="1"/>
  <c r="R291" i="1"/>
  <c r="Q291" i="1"/>
  <c r="R292" i="1"/>
  <c r="Q292" i="1"/>
  <c r="R293" i="1"/>
  <c r="Q293" i="1"/>
  <c r="R294" i="1"/>
  <c r="Q294" i="1"/>
  <c r="R295" i="1"/>
  <c r="Q295" i="1"/>
  <c r="R296" i="1"/>
  <c r="Q296" i="1"/>
  <c r="R297" i="1"/>
  <c r="Q297" i="1"/>
  <c r="R298" i="1"/>
  <c r="Q298" i="1"/>
  <c r="R299" i="1"/>
  <c r="Q299" i="1"/>
  <c r="R300" i="1"/>
  <c r="Q300" i="1"/>
  <c r="R301" i="1"/>
  <c r="Q301" i="1"/>
  <c r="R302" i="1"/>
  <c r="Q302" i="1"/>
  <c r="R303" i="1"/>
  <c r="Q303" i="1"/>
  <c r="R304" i="1"/>
  <c r="Q304" i="1"/>
  <c r="R305" i="1"/>
  <c r="Q305" i="1"/>
  <c r="R306" i="1"/>
  <c r="Q306" i="1"/>
  <c r="R307" i="1"/>
  <c r="Q307" i="1"/>
  <c r="R308" i="1"/>
  <c r="Q308" i="1"/>
  <c r="R309" i="1"/>
  <c r="Q309" i="1"/>
  <c r="R310" i="1"/>
  <c r="Q310" i="1"/>
  <c r="R311" i="1"/>
  <c r="Q311" i="1"/>
  <c r="R312" i="1"/>
  <c r="Q312" i="1"/>
  <c r="R313" i="1"/>
  <c r="Q313" i="1"/>
  <c r="R314" i="1"/>
  <c r="Q314" i="1"/>
  <c r="R315" i="1"/>
  <c r="Q315" i="1"/>
  <c r="R316" i="1"/>
  <c r="Q316" i="1"/>
  <c r="R317" i="1"/>
  <c r="Q317" i="1"/>
  <c r="R318" i="1"/>
  <c r="Q318" i="1"/>
  <c r="R319" i="1"/>
  <c r="Q319" i="1"/>
  <c r="R320" i="1"/>
  <c r="Q320" i="1"/>
  <c r="R321" i="1"/>
  <c r="Q321" i="1"/>
  <c r="R322" i="1"/>
  <c r="Q322" i="1"/>
  <c r="R323" i="1"/>
  <c r="Q323" i="1"/>
  <c r="R324" i="1"/>
  <c r="Q324" i="1"/>
  <c r="R325" i="1"/>
  <c r="Q325" i="1"/>
  <c r="R326" i="1"/>
  <c r="Q326" i="1"/>
  <c r="R327" i="1"/>
  <c r="Q327" i="1"/>
  <c r="R328" i="1"/>
  <c r="Q328" i="1"/>
  <c r="R329" i="1"/>
  <c r="Q329" i="1"/>
  <c r="R330" i="1"/>
  <c r="Q330" i="1"/>
  <c r="R331" i="1"/>
  <c r="Q331" i="1"/>
  <c r="R332" i="1"/>
  <c r="Q332" i="1"/>
  <c r="R333" i="1"/>
  <c r="Q333" i="1"/>
  <c r="R334" i="1"/>
  <c r="Q334" i="1"/>
  <c r="R335" i="1"/>
  <c r="Q335" i="1"/>
  <c r="R336" i="1"/>
  <c r="Q336" i="1"/>
  <c r="R337" i="1"/>
  <c r="Q337" i="1"/>
  <c r="R338" i="1"/>
  <c r="Q338" i="1"/>
  <c r="R339" i="1"/>
  <c r="Q339" i="1"/>
  <c r="R340" i="1"/>
  <c r="Q340" i="1"/>
  <c r="R341" i="1"/>
  <c r="Q341" i="1"/>
  <c r="R342" i="1"/>
  <c r="Q342" i="1"/>
  <c r="R343" i="1"/>
  <c r="Q343" i="1"/>
  <c r="R344" i="1"/>
  <c r="Q344" i="1"/>
  <c r="R345" i="1"/>
  <c r="Q345" i="1"/>
  <c r="R346" i="1"/>
  <c r="Q346" i="1"/>
  <c r="R347" i="1"/>
  <c r="Q347" i="1"/>
  <c r="R348" i="1"/>
  <c r="Q348" i="1"/>
  <c r="R349" i="1"/>
  <c r="Q349" i="1"/>
  <c r="R350" i="1"/>
  <c r="Q350" i="1"/>
  <c r="R351" i="1"/>
  <c r="Q351" i="1"/>
  <c r="R352" i="1"/>
  <c r="Q352" i="1"/>
  <c r="R353" i="1"/>
  <c r="Q353" i="1"/>
  <c r="R354" i="1"/>
  <c r="Q354" i="1"/>
  <c r="R355" i="1"/>
  <c r="Q355" i="1"/>
  <c r="R356" i="1"/>
  <c r="Q356" i="1"/>
  <c r="R357" i="1"/>
  <c r="Q357" i="1"/>
  <c r="R358" i="1"/>
  <c r="Q358" i="1"/>
  <c r="R359" i="1"/>
  <c r="Q359" i="1"/>
  <c r="R360" i="1"/>
  <c r="Q360" i="1"/>
  <c r="R361" i="1"/>
  <c r="Q361" i="1"/>
  <c r="R362" i="1"/>
  <c r="Q362" i="1"/>
  <c r="R363" i="1"/>
  <c r="Q363" i="1"/>
  <c r="R364" i="1"/>
  <c r="Q364" i="1"/>
  <c r="R365" i="1"/>
  <c r="Q365" i="1"/>
  <c r="R366" i="1"/>
  <c r="Q366" i="1"/>
  <c r="R367" i="1"/>
  <c r="Q367" i="1"/>
  <c r="R368" i="1"/>
  <c r="Q368" i="1"/>
  <c r="R369" i="1"/>
  <c r="Q369" i="1"/>
  <c r="R370" i="1"/>
  <c r="Q370" i="1"/>
  <c r="R371" i="1"/>
  <c r="Q371" i="1"/>
  <c r="R372" i="1"/>
  <c r="Q372" i="1"/>
  <c r="R373" i="1"/>
  <c r="Q373" i="1"/>
  <c r="R374" i="1"/>
  <c r="Q374" i="1"/>
  <c r="R375" i="1"/>
  <c r="Q375" i="1"/>
  <c r="R376" i="1"/>
  <c r="Q376" i="1"/>
  <c r="R377" i="1"/>
  <c r="Q377" i="1"/>
  <c r="R378" i="1"/>
  <c r="Q378" i="1"/>
  <c r="R379" i="1"/>
  <c r="Q379" i="1"/>
  <c r="R380" i="1"/>
  <c r="Q380" i="1"/>
  <c r="R381" i="1"/>
  <c r="Q381" i="1"/>
  <c r="R382" i="1"/>
  <c r="Q382" i="1"/>
  <c r="R383" i="1"/>
  <c r="Q383" i="1"/>
  <c r="R384" i="1"/>
  <c r="Q384" i="1"/>
  <c r="R385" i="1"/>
  <c r="Q385" i="1"/>
  <c r="R386" i="1"/>
  <c r="Q386" i="1"/>
  <c r="R387" i="1"/>
  <c r="Q387" i="1"/>
  <c r="R388" i="1"/>
  <c r="Q388" i="1"/>
  <c r="R389" i="1"/>
  <c r="Q389" i="1"/>
  <c r="R390" i="1"/>
  <c r="Q390" i="1"/>
  <c r="R391" i="1"/>
  <c r="Q391" i="1"/>
  <c r="R392" i="1"/>
  <c r="Q392" i="1"/>
  <c r="R393" i="1"/>
  <c r="Q393" i="1"/>
  <c r="R394" i="1"/>
  <c r="Q394" i="1"/>
  <c r="R395" i="1"/>
  <c r="Q395" i="1"/>
  <c r="R396" i="1"/>
  <c r="Q396" i="1"/>
  <c r="R397" i="1"/>
  <c r="Q397" i="1"/>
  <c r="R398" i="1"/>
  <c r="Q398" i="1"/>
  <c r="R399" i="1"/>
  <c r="Q399" i="1"/>
  <c r="R400" i="1"/>
  <c r="Q400" i="1"/>
  <c r="R401" i="1"/>
  <c r="Q401" i="1"/>
  <c r="R402" i="1"/>
  <c r="Q402" i="1"/>
  <c r="R403" i="1"/>
  <c r="Q403" i="1"/>
  <c r="R404" i="1"/>
  <c r="Q404" i="1"/>
  <c r="R405" i="1"/>
  <c r="Q405" i="1"/>
  <c r="R406" i="1"/>
  <c r="Q406" i="1"/>
  <c r="R407" i="1"/>
  <c r="Q407" i="1"/>
  <c r="R408" i="1"/>
  <c r="Q408" i="1"/>
  <c r="R409" i="1"/>
  <c r="Q409" i="1"/>
  <c r="R410" i="1"/>
  <c r="Q410" i="1"/>
  <c r="R411" i="1"/>
  <c r="Q411" i="1"/>
  <c r="R412" i="1"/>
  <c r="Q412" i="1"/>
  <c r="R413" i="1"/>
  <c r="Q413" i="1"/>
  <c r="R414" i="1"/>
  <c r="Q414" i="1"/>
  <c r="R415" i="1"/>
  <c r="Q415" i="1"/>
  <c r="R416" i="1"/>
  <c r="Q416" i="1"/>
  <c r="R417" i="1"/>
  <c r="Q417" i="1"/>
  <c r="R418" i="1"/>
  <c r="Q418" i="1"/>
  <c r="R419" i="1"/>
  <c r="Q419" i="1"/>
  <c r="R420" i="1"/>
  <c r="Q420" i="1"/>
  <c r="R421" i="1"/>
  <c r="Q421" i="1"/>
  <c r="R422" i="1"/>
  <c r="Q422" i="1"/>
  <c r="R423" i="1"/>
  <c r="Q423" i="1"/>
  <c r="R424" i="1"/>
  <c r="Q424" i="1"/>
  <c r="R425" i="1"/>
  <c r="Q425" i="1"/>
  <c r="R426" i="1"/>
  <c r="Q426" i="1"/>
  <c r="R427" i="1"/>
  <c r="Q427" i="1"/>
  <c r="R428" i="1"/>
  <c r="Q428" i="1"/>
  <c r="R429" i="1"/>
  <c r="Q429" i="1"/>
  <c r="R430" i="1"/>
  <c r="Q430" i="1"/>
  <c r="R431" i="1"/>
  <c r="Q431" i="1"/>
  <c r="R432" i="1"/>
  <c r="Q432" i="1"/>
  <c r="R433" i="1"/>
  <c r="Q433" i="1"/>
  <c r="R434" i="1"/>
  <c r="Q434" i="1"/>
  <c r="R435" i="1"/>
  <c r="Q435" i="1"/>
  <c r="R436" i="1"/>
  <c r="Q436" i="1"/>
  <c r="R437" i="1"/>
  <c r="Q437" i="1"/>
  <c r="R438" i="1"/>
  <c r="Q438" i="1"/>
  <c r="R439" i="1"/>
  <c r="Q439" i="1"/>
  <c r="R440" i="1"/>
  <c r="Q440" i="1"/>
  <c r="R441" i="1"/>
  <c r="Q441" i="1"/>
  <c r="R442" i="1"/>
  <c r="Q442" i="1"/>
  <c r="R443" i="1"/>
  <c r="Q443" i="1"/>
  <c r="R444" i="1"/>
  <c r="Q444" i="1"/>
  <c r="R445" i="1"/>
  <c r="Q445" i="1"/>
  <c r="R446" i="1"/>
  <c r="Q446" i="1"/>
  <c r="R447" i="1"/>
  <c r="Q447" i="1"/>
  <c r="R448" i="1"/>
  <c r="Q448" i="1"/>
  <c r="R449" i="1"/>
  <c r="Q449" i="1"/>
  <c r="R450" i="1"/>
  <c r="Q450" i="1"/>
  <c r="R451" i="1"/>
  <c r="Q451" i="1"/>
  <c r="R452" i="1"/>
  <c r="Q452" i="1"/>
  <c r="R453" i="1"/>
  <c r="Q453" i="1"/>
  <c r="R454" i="1"/>
  <c r="Q454" i="1"/>
  <c r="R455" i="1"/>
  <c r="Q455" i="1"/>
  <c r="R456" i="1"/>
  <c r="Q456" i="1"/>
  <c r="R457" i="1"/>
  <c r="Q457" i="1"/>
  <c r="R458" i="1"/>
  <c r="Q458" i="1"/>
  <c r="R459" i="1"/>
  <c r="Q459" i="1"/>
  <c r="R460" i="1"/>
  <c r="Q460" i="1"/>
  <c r="R461" i="1"/>
  <c r="Q461" i="1"/>
  <c r="R462" i="1"/>
  <c r="Q462" i="1"/>
  <c r="R463" i="1"/>
  <c r="Q463" i="1"/>
  <c r="R464" i="1"/>
  <c r="Q464" i="1"/>
  <c r="R465" i="1"/>
  <c r="Q465" i="1"/>
  <c r="R466" i="1"/>
  <c r="Q466" i="1"/>
  <c r="R467" i="1"/>
  <c r="Q467" i="1"/>
  <c r="R468" i="1"/>
  <c r="Q468" i="1"/>
  <c r="R469" i="1"/>
  <c r="Q469" i="1"/>
  <c r="R470" i="1"/>
  <c r="Q470" i="1"/>
  <c r="R471" i="1"/>
  <c r="Q471" i="1"/>
  <c r="R472" i="1"/>
  <c r="Q472" i="1"/>
  <c r="R473" i="1"/>
  <c r="Q473" i="1"/>
  <c r="R474" i="1"/>
  <c r="Q474" i="1"/>
  <c r="R475" i="1"/>
  <c r="Q475" i="1"/>
  <c r="R476" i="1"/>
  <c r="Q476" i="1"/>
  <c r="R477" i="1"/>
  <c r="Q477" i="1"/>
  <c r="R478" i="1"/>
  <c r="Q478" i="1"/>
  <c r="R479" i="1"/>
  <c r="Q479" i="1"/>
  <c r="R480" i="1"/>
  <c r="Q480" i="1"/>
  <c r="R481" i="1"/>
  <c r="Q481" i="1"/>
  <c r="R482" i="1"/>
  <c r="Q482" i="1"/>
  <c r="R483" i="1"/>
  <c r="Q483" i="1"/>
  <c r="R484" i="1"/>
  <c r="Q484" i="1"/>
  <c r="R485" i="1"/>
  <c r="Q485" i="1"/>
  <c r="R486" i="1"/>
  <c r="Q486" i="1"/>
  <c r="R487" i="1"/>
  <c r="Q487" i="1"/>
  <c r="R488" i="1"/>
  <c r="Q488" i="1"/>
  <c r="R489" i="1"/>
  <c r="Q489" i="1"/>
  <c r="R490" i="1"/>
  <c r="Q490" i="1"/>
  <c r="R491" i="1"/>
  <c r="Q491" i="1"/>
  <c r="R492" i="1"/>
  <c r="Q492" i="1"/>
  <c r="R493" i="1"/>
  <c r="Q493" i="1"/>
  <c r="R494" i="1"/>
  <c r="Q494" i="1"/>
  <c r="R495" i="1"/>
  <c r="Q495" i="1"/>
  <c r="R496" i="1"/>
  <c r="Q496" i="1"/>
  <c r="R497" i="1"/>
  <c r="Q497" i="1"/>
  <c r="R498" i="1"/>
  <c r="Q498" i="1"/>
  <c r="R499" i="1"/>
  <c r="Q499" i="1"/>
  <c r="R500" i="1"/>
  <c r="Q500" i="1"/>
  <c r="R501" i="1"/>
  <c r="Q501" i="1"/>
  <c r="R502" i="1"/>
  <c r="Q502" i="1"/>
  <c r="R503" i="1"/>
  <c r="Q503" i="1"/>
  <c r="R504" i="1"/>
  <c r="Q504" i="1"/>
  <c r="R505" i="1"/>
  <c r="Q505" i="1"/>
  <c r="R506" i="1"/>
  <c r="Q506" i="1"/>
  <c r="R507" i="1"/>
  <c r="Q507" i="1"/>
  <c r="R508" i="1"/>
  <c r="Q508" i="1"/>
  <c r="R509" i="1"/>
  <c r="Q509" i="1"/>
  <c r="R510" i="1"/>
  <c r="Q510" i="1"/>
  <c r="R511" i="1"/>
  <c r="Q511" i="1"/>
  <c r="R512" i="1"/>
  <c r="Q512" i="1"/>
  <c r="R513" i="1"/>
  <c r="Q513" i="1"/>
  <c r="R514" i="1"/>
  <c r="Q514" i="1"/>
  <c r="R515" i="1"/>
  <c r="Q515" i="1"/>
  <c r="R516" i="1"/>
  <c r="Q516" i="1"/>
  <c r="R517" i="1"/>
  <c r="Q517" i="1"/>
  <c r="R518" i="1"/>
  <c r="Q518" i="1"/>
  <c r="R519" i="1"/>
  <c r="Q519" i="1"/>
  <c r="R520" i="1"/>
  <c r="Q520" i="1"/>
  <c r="R521" i="1"/>
  <c r="Q521" i="1"/>
  <c r="R522" i="1"/>
  <c r="Q522" i="1"/>
  <c r="R523" i="1"/>
  <c r="Q523" i="1"/>
  <c r="R524" i="1"/>
  <c r="Q524" i="1"/>
  <c r="R525" i="1"/>
  <c r="Q525" i="1"/>
  <c r="R526" i="1"/>
  <c r="Q526" i="1"/>
  <c r="R527" i="1"/>
  <c r="Q527" i="1"/>
  <c r="R528" i="1"/>
  <c r="Q528" i="1"/>
  <c r="R529" i="1"/>
  <c r="Q529" i="1"/>
  <c r="R530" i="1"/>
  <c r="Q530" i="1"/>
  <c r="R531" i="1"/>
  <c r="Q531" i="1"/>
  <c r="R532" i="1"/>
  <c r="Q532" i="1"/>
  <c r="R533" i="1"/>
  <c r="Q533" i="1"/>
  <c r="R534" i="1"/>
  <c r="Q534" i="1"/>
  <c r="R535" i="1"/>
  <c r="Q535" i="1"/>
  <c r="R536" i="1"/>
  <c r="Q536" i="1"/>
  <c r="R537" i="1"/>
  <c r="Q537" i="1"/>
  <c r="R538" i="1"/>
  <c r="Q538" i="1"/>
  <c r="R539" i="1"/>
  <c r="Q539" i="1"/>
  <c r="R540" i="1"/>
  <c r="Q540" i="1"/>
  <c r="R541" i="1"/>
  <c r="Q541" i="1"/>
  <c r="R542" i="1"/>
  <c r="Q542" i="1"/>
  <c r="R543" i="1"/>
  <c r="Q543" i="1"/>
  <c r="R544" i="1"/>
  <c r="Q544" i="1"/>
  <c r="R545" i="1"/>
  <c r="Q545" i="1"/>
  <c r="R546" i="1"/>
  <c r="Q546" i="1"/>
  <c r="R547" i="1"/>
  <c r="Q547" i="1"/>
  <c r="R548" i="1"/>
  <c r="Q548" i="1"/>
  <c r="R549" i="1"/>
  <c r="Q549" i="1"/>
  <c r="R550" i="1"/>
  <c r="Q550" i="1"/>
  <c r="R551" i="1"/>
  <c r="Q551" i="1"/>
  <c r="R552" i="1"/>
  <c r="Q552" i="1"/>
  <c r="R553" i="1"/>
  <c r="Q553" i="1"/>
  <c r="R555" i="1"/>
  <c r="Q555" i="1"/>
  <c r="R554" i="1"/>
  <c r="Q554" i="1"/>
  <c r="R557" i="1"/>
  <c r="Q557" i="1"/>
  <c r="R556" i="1"/>
  <c r="Q556" i="1"/>
  <c r="R558" i="1"/>
  <c r="Q558" i="1"/>
  <c r="R559" i="1"/>
  <c r="Q559" i="1"/>
  <c r="R560" i="1"/>
  <c r="Q560" i="1"/>
  <c r="R561" i="1"/>
  <c r="Q561" i="1"/>
  <c r="R562" i="1"/>
  <c r="Q562" i="1"/>
  <c r="R563" i="1"/>
  <c r="Q563" i="1"/>
  <c r="R564" i="1"/>
  <c r="Q564" i="1"/>
  <c r="R565" i="1"/>
  <c r="Q565" i="1"/>
  <c r="R566" i="1"/>
  <c r="Q566" i="1"/>
  <c r="R567" i="1"/>
  <c r="Q567" i="1"/>
  <c r="R568" i="1"/>
  <c r="Q568" i="1"/>
  <c r="R569" i="1"/>
  <c r="Q569" i="1"/>
  <c r="R570" i="1"/>
  <c r="Q570" i="1"/>
  <c r="R571" i="1"/>
  <c r="Q571" i="1"/>
  <c r="R572" i="1"/>
  <c r="Q572" i="1"/>
  <c r="R573" i="1"/>
  <c r="Q573" i="1"/>
  <c r="R574" i="1"/>
  <c r="Q574" i="1"/>
  <c r="R575" i="1"/>
  <c r="Q575" i="1"/>
  <c r="R576" i="1"/>
  <c r="Q576" i="1"/>
  <c r="R577" i="1"/>
  <c r="Q577" i="1"/>
  <c r="R578" i="1"/>
  <c r="Q578" i="1"/>
  <c r="R579" i="1"/>
  <c r="Q579" i="1"/>
  <c r="R580" i="1"/>
  <c r="Q580" i="1"/>
  <c r="R581" i="1"/>
  <c r="Q581" i="1"/>
  <c r="R582" i="1"/>
  <c r="Q582" i="1"/>
  <c r="R583" i="1"/>
  <c r="Q583" i="1"/>
  <c r="R584" i="1"/>
  <c r="Q584" i="1"/>
  <c r="R585" i="1"/>
  <c r="Q585" i="1"/>
  <c r="R586" i="1"/>
  <c r="Q586" i="1"/>
  <c r="R587" i="1"/>
  <c r="Q587" i="1"/>
  <c r="R588" i="1"/>
  <c r="Q588" i="1"/>
  <c r="R589" i="1"/>
  <c r="Q589" i="1"/>
  <c r="R590" i="1"/>
  <c r="Q590" i="1"/>
  <c r="R591" i="1"/>
  <c r="Q591" i="1"/>
  <c r="R592" i="1"/>
  <c r="Q592" i="1"/>
  <c r="R593" i="1"/>
  <c r="Q593" i="1"/>
  <c r="R594" i="1"/>
  <c r="Q594" i="1"/>
  <c r="R595" i="1"/>
  <c r="Q595" i="1"/>
  <c r="R596" i="1"/>
  <c r="Q596" i="1"/>
  <c r="R597" i="1"/>
  <c r="Q597" i="1"/>
  <c r="R598" i="1"/>
  <c r="Q598" i="1"/>
  <c r="R599" i="1"/>
  <c r="Q599" i="1"/>
  <c r="R600" i="1"/>
  <c r="Q600" i="1"/>
  <c r="R601" i="1"/>
  <c r="Q601" i="1"/>
  <c r="R602" i="1"/>
  <c r="Q602" i="1"/>
  <c r="R603" i="1"/>
  <c r="Q603" i="1"/>
  <c r="R604" i="1"/>
  <c r="Q604" i="1"/>
  <c r="R605" i="1"/>
  <c r="Q605" i="1"/>
  <c r="R606" i="1"/>
  <c r="Q606" i="1"/>
  <c r="R607" i="1"/>
  <c r="Q607" i="1"/>
  <c r="R608" i="1"/>
  <c r="Q608" i="1"/>
  <c r="R609" i="1"/>
  <c r="Q609" i="1"/>
  <c r="R610" i="1"/>
  <c r="Q610" i="1"/>
  <c r="R611" i="1"/>
  <c r="Q611" i="1"/>
  <c r="R612" i="1"/>
  <c r="Q612" i="1"/>
  <c r="R613" i="1"/>
  <c r="Q613" i="1"/>
  <c r="R614" i="1"/>
  <c r="Q614" i="1"/>
  <c r="R615" i="1"/>
  <c r="Q615" i="1"/>
  <c r="R616" i="1"/>
  <c r="Q616" i="1"/>
  <c r="R617" i="1"/>
  <c r="Q617" i="1"/>
  <c r="R618" i="1"/>
  <c r="Q618" i="1"/>
  <c r="R619" i="1"/>
  <c r="Q619" i="1"/>
  <c r="R620" i="1"/>
  <c r="Q620" i="1"/>
  <c r="R621" i="1"/>
  <c r="Q621" i="1"/>
  <c r="R622" i="1"/>
  <c r="Q622" i="1"/>
  <c r="R623" i="1"/>
  <c r="Q623" i="1"/>
  <c r="R624" i="1"/>
  <c r="Q6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tc={443A35F5-6C0F-467B-A7D2-003C791F78EE}</author>
    <author>tc={498C9232-0AB6-4E60-8EED-497556BA39AE}</author>
    <author>tc={9EAD4336-7D41-4221-B2F3-2A45CD39356A}</author>
    <author>tc={F351732B-6C03-4397-8094-661CCE899CEB}</author>
    <author>tc={59F8E1DF-7E67-4E6B-A2A2-10C7D1BE5D77}</author>
    <author>tc={F19F3CCC-6098-471A-BB4C-08CF5ECBED88}</author>
    <author>tc={555481A5-2119-42B9-A743-1D53BCEAC8E2}</author>
    <author>tc={BA74EB85-167F-42D8-A93D-2FB71ACFB671}</author>
    <author>tc={F59049E9-1785-4C45-8F97-CBE30E15E17B}</author>
    <author>tc={ADA20204-3619-4525-BF52-BC885A2FE0CD}</author>
    <author>tc={69843530-3364-4EB1-8EFD-7865E8791CC9}</author>
    <author>tc={BD085B51-AE23-400A-8E96-44493638E1CA}</author>
    <author>tc={D09C61C0-AF8C-4B54-9138-A33EF5648FDB}</author>
  </authors>
  <commentList>
    <comment ref="D57" authorId="0" shapeId="0" xr:uid="{443A35F5-6C0F-467B-A7D2-003C791F78EE}">
      <text>
        <t>[Threaded comment]
Your version of Excel allows you to read this threaded comment; however, any edits to it will get removed if the file is opened in a newer version of Excel. Learn more: https://go.microsoft.com/fwlink/?linkid=870924
Comment:
    Hashicorp</t>
      </text>
    </comment>
    <comment ref="D76" authorId="1" shapeId="0" xr:uid="{498C9232-0AB6-4E60-8EED-497556BA39AE}">
      <text>
        <t>[Threaded comment]
Your version of Excel allows you to read this threaded comment; however, any edits to it will get removed if the file is opened in a newer version of Excel. Learn more: https://go.microsoft.com/fwlink/?linkid=870924
Comment:
    Bought through AWS</t>
      </text>
    </comment>
    <comment ref="D78" authorId="2" shapeId="0" xr:uid="{9EAD4336-7D41-4221-B2F3-2A45CD39356A}">
      <text>
        <t>[Threaded comment]
Your version of Excel allows you to read this threaded comment; however, any edits to it will get removed if the file is opened in a newer version of Excel. Learn more: https://go.microsoft.com/fwlink/?linkid=870924
Comment:
    Vendor deleted</t>
      </text>
    </comment>
    <comment ref="D85" authorId="3" shapeId="0" xr:uid="{F351732B-6C03-4397-8094-661CCE899CEB}">
      <text>
        <t xml:space="preserve">[Threaded comment]
Your version of Excel allows you to read this threaded comment; however, any edits to it will get removed if the file is opened in a newer version of Excel. Learn more: https://go.microsoft.com/fwlink/?linkid=870924
Comment:
    SHI Corp
</t>
      </text>
    </comment>
    <comment ref="D173" authorId="4" shapeId="0" xr:uid="{59F8E1DF-7E67-4E6B-A2A2-10C7D1BE5D77}">
      <text>
        <t>[Threaded comment]
Your version of Excel allows you to read this threaded comment; however, any edits to it will get removed if the file is opened in a newer version of Excel. Learn more: https://go.microsoft.com/fwlink/?linkid=870924
Comment:
    Winmill ID</t>
      </text>
    </comment>
    <comment ref="I313" authorId="5" shapeId="0" xr:uid="{F19F3CCC-6098-471A-BB4C-08CF5ECBED88}">
      <text>
        <t>[Threaded comment]
Your version of Excel allows you to read this threaded comment; however, any edits to it will get removed if the file is opened in a newer version of Excel. Learn more: https://go.microsoft.com/fwlink/?linkid=870924
Comment:
    SEGMENT CHANGE : Was CORP, Changed to FIELD per 11/14/25 ‘side by side Items by Segment’ tab</t>
      </text>
    </comment>
    <comment ref="I400" authorId="6" shapeId="0" xr:uid="{555481A5-2119-42B9-A743-1D53BCEAC8E2}">
      <text>
        <t>[Threaded comment]
Your version of Excel allows you to read this threaded comment; however, any edits to it will get removed if the file is opened in a newer version of Excel. Learn more: https://go.microsoft.com/fwlink/?linkid=870924
Comment:
    SEGMENT CHANGE : Was CORP, Changed to FIELD per 11/14/25 ‘side by side Items by Segment’ tab</t>
      </text>
    </comment>
    <comment ref="I536" authorId="7" shapeId="0" xr:uid="{BA74EB85-167F-42D8-A93D-2FB71ACFB671}">
      <text>
        <t>[Threaded comment]
Your version of Excel allows you to read this threaded comment; however, any edits to it will get removed if the file is opened in a newer version of Excel. Learn more: https://go.microsoft.com/fwlink/?linkid=870924
Comment:
    SEGMENT CHANGE : Was CORP, Changed to FIELD per 11/14/25 ‘side by side Items by Segment’ tab</t>
      </text>
    </comment>
    <comment ref="I539" authorId="8" shapeId="0" xr:uid="{F59049E9-1785-4C45-8F97-CBE30E15E17B}">
      <text>
        <t>[Threaded comment]
Your version of Excel allows you to read this threaded comment; however, any edits to it will get removed if the file is opened in a newer version of Excel. Learn more: https://go.microsoft.com/fwlink/?linkid=870924
Comment:
    SEGMENT CHANGE : Was CORP, Changed to FIELD per 11/14/25 ‘side by side Items by Segment’ tab</t>
      </text>
    </comment>
    <comment ref="I541" authorId="9" shapeId="0" xr:uid="{ADA20204-3619-4525-BF52-BC885A2FE0CD}">
      <text>
        <t>[Threaded comment]
Your version of Excel allows you to read this threaded comment; however, any edits to it will get removed if the file is opened in a newer version of Excel. Learn more: https://go.microsoft.com/fwlink/?linkid=870924
Comment:
    SEGMENT CHANGE : Was CORP, Changed to FIELD per 11/14/25 ‘side by side Items by Segment’ tab</t>
      </text>
    </comment>
    <comment ref="I542" authorId="10" shapeId="0" xr:uid="{69843530-3364-4EB1-8EFD-7865E8791CC9}">
      <text>
        <t>[Threaded comment]
Your version of Excel allows you to read this threaded comment; however, any edits to it will get removed if the file is opened in a newer version of Excel. Learn more: https://go.microsoft.com/fwlink/?linkid=870924
Comment:
    SEGMENT CHANGE : Was CORP, Changed to FIELD per 11/14/25 ‘side by side Items by Segment’ tab</t>
      </text>
    </comment>
    <comment ref="I543" authorId="11" shapeId="0" xr:uid="{BD085B51-AE23-400A-8E96-44493638E1CA}">
      <text>
        <t>[Threaded comment]
Your version of Excel allows you to read this threaded comment; however, any edits to it will get removed if the file is opened in a newer version of Excel. Learn more: https://go.microsoft.com/fwlink/?linkid=870924
Comment:
    SEGMENT CHANGE : Was CORP, Changed to FIELD per 11/14/25 ‘side by side Items by Segment’ tab</t>
      </text>
    </comment>
    <comment ref="I595" authorId="12" shapeId="0" xr:uid="{D09C61C0-AF8C-4B54-9138-A33EF5648FDB}">
      <text>
        <t>[Threaded comment]
Your version of Excel allows you to read this threaded comment; however, any edits to it will get removed if the file is opened in a newer version of Excel. Learn more: https://go.microsoft.com/fwlink/?linkid=870924
Comment:
    SEGMENT CHANGE : Was CORP, Changed to FIELD per 11/14/25 ‘side by side Items by Segment’ tab</t>
      </text>
    </comment>
  </commentList>
</comments>
</file>

<file path=xl/sharedStrings.xml><?xml version="1.0" encoding="utf-8"?>
<sst xmlns="http://schemas.openxmlformats.org/spreadsheetml/2006/main" count="9287" uniqueCount="1818">
  <si>
    <t>Scenario</t>
  </si>
  <si>
    <t>ID</t>
  </si>
  <si>
    <t>Supplier</t>
  </si>
  <si>
    <t>Supplier Number</t>
  </si>
  <si>
    <t>Approver</t>
  </si>
  <si>
    <t>Product</t>
  </si>
  <si>
    <t>DT Cost Center</t>
  </si>
  <si>
    <t>2025 Location</t>
  </si>
  <si>
    <t>Upbound Segment</t>
  </si>
  <si>
    <t>Budget Category</t>
  </si>
  <si>
    <t>GL ACCOUNT</t>
  </si>
  <si>
    <t>GL Category</t>
  </si>
  <si>
    <t>Product Description</t>
  </si>
  <si>
    <t>Basis</t>
  </si>
  <si>
    <t>Supported Group</t>
  </si>
  <si>
    <t>Consumption</t>
  </si>
  <si>
    <t>Allocation Basis</t>
  </si>
  <si>
    <t>Allocation.Basis</t>
  </si>
  <si>
    <t>RAC%</t>
  </si>
  <si>
    <t>Acima%</t>
  </si>
  <si>
    <t>Mexico%</t>
  </si>
  <si>
    <t>Brigit%</t>
  </si>
  <si>
    <t>Shared Service%</t>
  </si>
  <si>
    <t>Reference</t>
  </si>
  <si>
    <t>NONE</t>
  </si>
  <si>
    <t>MULTIPLE</t>
  </si>
  <si>
    <t>UNKNOWN</t>
  </si>
  <si>
    <t>FSC</t>
  </si>
  <si>
    <t>CORPORATE</t>
  </si>
  <si>
    <t>667030 - OP EXP OUTSIDE SVCS EDP</t>
  </si>
  <si>
    <t>OUTSIDE SERVICES</t>
  </si>
  <si>
    <t>FPA Adjustment</t>
  </si>
  <si>
    <t>Revenue</t>
  </si>
  <si>
    <t>IT Tools</t>
  </si>
  <si>
    <t>&lt;none&gt;</t>
  </si>
  <si>
    <t>NON-DTPPY</t>
  </si>
  <si>
    <t>NON-DT</t>
  </si>
  <si>
    <t>NON-DT Prepaid</t>
  </si>
  <si>
    <t>NON-DT Cost Center</t>
  </si>
  <si>
    <t>STORE</t>
  </si>
  <si>
    <t>Software Subscriptions</t>
  </si>
  <si>
    <t>679030 - IT SERVICES</t>
  </si>
  <si>
    <t>IT SERVICES / PREPAIDS</t>
  </si>
  <si>
    <t>***</t>
  </si>
  <si>
    <t>Corporate</t>
  </si>
  <si>
    <t>BUD-SYN20</t>
  </si>
  <si>
    <t>Erik Sabadie</t>
  </si>
  <si>
    <t>Data Center - Investment to get synergies</t>
  </si>
  <si>
    <t>DT800 - Digital Infrastructure</t>
  </si>
  <si>
    <t>FSC/SLC</t>
  </si>
  <si>
    <t>Data Center</t>
  </si>
  <si>
    <t>IT Infrastructure</t>
  </si>
  <si>
    <t>BUD-SYN19</t>
  </si>
  <si>
    <t>Christy Chreno</t>
  </si>
  <si>
    <t>Partner Ecosystem - Investment to get synergies</t>
  </si>
  <si>
    <t>DT100 - Technology Transformation and Governance</t>
  </si>
  <si>
    <t xml:space="preserve">Partner ecosystem is a network of interconnected organizations working together to create value and drive innovations. It's a dynamic and collaborative environment where partners with complementary strengths and capabilities unite to achieve common goals, like enhanced customer experiences and mutual business success. This ecosystem thrives on shared success, trust, and open communication, fostering continuous improvement, learning, and adaptation. </t>
  </si>
  <si>
    <t>BUD-SYN18</t>
  </si>
  <si>
    <t>Platform/Tools - Investment to get synergies</t>
  </si>
  <si>
    <t>BUD-SYN17</t>
  </si>
  <si>
    <t>RFP SELECTION</t>
  </si>
  <si>
    <t>added support savings based on RFP responses</t>
  </si>
  <si>
    <t>External Labor - Support</t>
  </si>
  <si>
    <t>667070 - OP EXP OUTSIDE SVCS OTHER</t>
  </si>
  <si>
    <t>Support</t>
  </si>
  <si>
    <t>BUD-SYN16</t>
  </si>
  <si>
    <t>Synergy - reduced investent requirement from platform</t>
  </si>
  <si>
    <t>IT Corporate</t>
  </si>
  <si>
    <t>BUD-SYN15</t>
  </si>
  <si>
    <t>EMPLOYEE COMPENSATON</t>
  </si>
  <si>
    <t>Elishia Williams</t>
  </si>
  <si>
    <t>removed backfills from Elishia Synergy sheet</t>
  </si>
  <si>
    <t>DT600 - App &amp; Platform Delivery</t>
  </si>
  <si>
    <t>Internal Labor</t>
  </si>
  <si>
    <t>650000 - TOTAL LABOR AND BENEFIT EXPENSE</t>
  </si>
  <si>
    <t>EMPLOYEE LABOR</t>
  </si>
  <si>
    <t>Employee compensation</t>
  </si>
  <si>
    <t>BUD-SYN14</t>
  </si>
  <si>
    <t>ORACLE/RIMINI</t>
  </si>
  <si>
    <t>Planned Synergy Savings</t>
  </si>
  <si>
    <t>131120 - PREPAID EXP SFTWR MAINTENANCE</t>
  </si>
  <si>
    <t>Data</t>
  </si>
  <si>
    <t>BUD-SYN13</t>
  </si>
  <si>
    <t>CYRUSONE</t>
  </si>
  <si>
    <t>668010 - OCCUPANCY REAL ESTATE RENT</t>
  </si>
  <si>
    <t>RENT</t>
  </si>
  <si>
    <t>BUD-SYN12</t>
  </si>
  <si>
    <t>Synergy - Other</t>
  </si>
  <si>
    <t>BUD-SYN11</t>
  </si>
  <si>
    <t>SERVICENOW, INC</t>
  </si>
  <si>
    <t>SNOW Customer Service Mgt</t>
  </si>
  <si>
    <t>SNOW Customer Service</t>
  </si>
  <si>
    <t>Total Headcount</t>
  </si>
  <si>
    <t>BUD-SYN10</t>
  </si>
  <si>
    <t>KEYFACTOR</t>
  </si>
  <si>
    <t>Shamoun Siddiqui</t>
  </si>
  <si>
    <t>Keyfactor</t>
  </si>
  <si>
    <t>DT700 - Cybersecurity</t>
  </si>
  <si>
    <t xml:space="preserve">is a cybersecurity company that focuses on enabling digital trust by managing machine identities and automating the lifecycle of digital certificates. </t>
  </si>
  <si>
    <t>Security</t>
  </si>
  <si>
    <t>BUD-SYN09</t>
  </si>
  <si>
    <t>Shrikanth Kannan</t>
  </si>
  <si>
    <t>EDW migration to Snowflake</t>
  </si>
  <si>
    <t>DT200 - Data Technology and Architecture</t>
  </si>
  <si>
    <t>BUD-SYN08</t>
  </si>
  <si>
    <t>Elastic Nonprod Environments</t>
  </si>
  <si>
    <t>Elasticsearch non-production environments are dedicated clusters used for development, testing, and staging, separate from the live production environment. These environments allow teams to experiment, validate changes, and ensure stability before deploying to production, minimizing risks to live users</t>
  </si>
  <si>
    <t>BUD-SYN07</t>
  </si>
  <si>
    <t>OKTA INC</t>
  </si>
  <si>
    <t>Okta Acima/RAC Customer Authentication</t>
  </si>
  <si>
    <t>Okta is a leading identity and access management (IAM) platforms. Okta is primarily focused on workforce identity, providing solutions for managing employee access to applications and resources within an organization</t>
  </si>
  <si>
    <t>BUD-SYN06</t>
  </si>
  <si>
    <t>Observability Incident</t>
  </si>
  <si>
    <t>BUD-SYN05</t>
  </si>
  <si>
    <t>Observability Metrics</t>
  </si>
  <si>
    <t>BUD-SYN04</t>
  </si>
  <si>
    <t>SALESFORCE.COM INC</t>
  </si>
  <si>
    <t>Pranav Sharma</t>
  </si>
  <si>
    <t>MULESOFT</t>
  </si>
  <si>
    <t>Salesforce Marketing Campaigns are a way to organize, track, and manage marketing efforts within the Salesforce platform</t>
  </si>
  <si>
    <t>BUD-SYN03</t>
  </si>
  <si>
    <t>AMAZON WEB SERVICES</t>
  </si>
  <si>
    <t>Other RAC AWS Optimizations</t>
  </si>
  <si>
    <t>FIELD</t>
  </si>
  <si>
    <t>Cloud Subscriptions</t>
  </si>
  <si>
    <t>Cloud Computing Services - RAC</t>
  </si>
  <si>
    <t>RAC Direct</t>
  </si>
  <si>
    <t>BUD-SYN02</t>
  </si>
  <si>
    <t>AWS Ecomm NonProd</t>
  </si>
  <si>
    <t>Cloud Computing Services - Ecomm NonProd</t>
  </si>
  <si>
    <t>BUD-SYN01</t>
  </si>
  <si>
    <t>AWS RACPad NonProd</t>
  </si>
  <si>
    <t>Cloud Computing Services - RACPad NonProd</t>
  </si>
  <si>
    <t>BUD-OTH99</t>
  </si>
  <si>
    <t>MULTIPLE/OTHER</t>
  </si>
  <si>
    <t>BUD-OTH02x</t>
  </si>
  <si>
    <t>Contingency</t>
  </si>
  <si>
    <t>External Labor - Pro Svc</t>
  </si>
  <si>
    <t>BUD-OTH02</t>
  </si>
  <si>
    <t>BUD-OTH01</t>
  </si>
  <si>
    <t>Targeted savings in Infra and Security</t>
  </si>
  <si>
    <t>Other</t>
  </si>
  <si>
    <t>BUD-LAB12</t>
  </si>
  <si>
    <t>DT900 - DT Leadership</t>
  </si>
  <si>
    <t>BUD-LAB11</t>
  </si>
  <si>
    <t>BUD-LAB10</t>
  </si>
  <si>
    <t>BUD-LAB09</t>
  </si>
  <si>
    <t>BUD-LAB08</t>
  </si>
  <si>
    <t>DT500 - Program Management &amp; Agile Operations</t>
  </si>
  <si>
    <t>BUD-LAB07</t>
  </si>
  <si>
    <t>JC Silotti</t>
  </si>
  <si>
    <t>EMPLOYEE COMPENSATON - PRODUCT</t>
  </si>
  <si>
    <t>DT400 - Product Management</t>
  </si>
  <si>
    <t>BUD-LAB06</t>
  </si>
  <si>
    <t>DT300 - Enterprise Technology and Architecture</t>
  </si>
  <si>
    <t>BUD-LAB05</t>
  </si>
  <si>
    <t>John Howard</t>
  </si>
  <si>
    <t>BUD-LAB04</t>
  </si>
  <si>
    <t>Bottom 5% not backfilled</t>
  </si>
  <si>
    <t>BUD-LAB02x</t>
  </si>
  <si>
    <t>BUD-LAB02</t>
  </si>
  <si>
    <t>BUD-LAB01x</t>
  </si>
  <si>
    <t>EMPLOYEE CAP LABOR</t>
  </si>
  <si>
    <t>EMPLOYEE CAP LABOR - PRODUCT</t>
  </si>
  <si>
    <t>652050 - SAL AND WAGES CAPITALIZED LABOR</t>
  </si>
  <si>
    <t>EMPLOYEE CAPITAL LABOR</t>
  </si>
  <si>
    <t>Employee capital</t>
  </si>
  <si>
    <t>BUD-LAB01</t>
  </si>
  <si>
    <t>BUD-CAP04f</t>
  </si>
  <si>
    <t>TBD</t>
  </si>
  <si>
    <t>Data Governance Tools</t>
  </si>
  <si>
    <t>&lt;- Additional tooling for Data Quality, Full Path Liniage tracking and potential catalog extensions</t>
  </si>
  <si>
    <t>BUD-CAP04e</t>
  </si>
  <si>
    <t>FIVETRAN</t>
  </si>
  <si>
    <t>FiveTran Database service</t>
  </si>
  <si>
    <t>General Ledger Reconciliation Services &lt;- JTH - Increased use of Snowflake plus snapshot storage- Gut estimate to be refined</t>
  </si>
  <si>
    <t>BUD-CAP04d</t>
  </si>
  <si>
    <t>Customer Preference Center</t>
  </si>
  <si>
    <t>external Labor - Pro Svc</t>
  </si>
  <si>
    <t>&lt;- Need to undersand the needs and desired outcomes - $1.5M is a ball park for a comprehensive project like this, likely integrated with Global Customer ID</t>
  </si>
  <si>
    <t>BUD-CAP04c</t>
  </si>
  <si>
    <t>AWS MARKETPLACE</t>
  </si>
  <si>
    <t>SNOWFLAKE for General Ledger Reconciliation Services</t>
  </si>
  <si>
    <t>BUD-CAP04b</t>
  </si>
  <si>
    <t>SNOWFLAKE for Unified Customer Profile</t>
  </si>
  <si>
    <t>Unified Customer Profile &lt;- JTH - Increased use of Snowflake - Gut estimate to be refined</t>
  </si>
  <si>
    <t>BUD-CAP04a</t>
  </si>
  <si>
    <t>SNOWFLAKE for Atlas Horizon/Ignite</t>
  </si>
  <si>
    <t>Atlas Horizon/Ignite &lt;- JTH - Increased use of Snowflake - Gut estimate to be refined</t>
  </si>
  <si>
    <t>BUD-CAP04</t>
  </si>
  <si>
    <t>EXPENSE ASSOCIATED WITH CAPITAL</t>
  </si>
  <si>
    <t>CORPORATE - Expense Associated With Capital (Subscriptions)</t>
  </si>
  <si>
    <t>CORPORATE - Expense Associated With Capital</t>
  </si>
  <si>
    <t>BUD-CAP03F</t>
  </si>
  <si>
    <t>Expense Associated With Capital (External Labor)</t>
  </si>
  <si>
    <t>External Labor</t>
  </si>
  <si>
    <t>BUD-CAP03</t>
  </si>
  <si>
    <t>BUD-CAP02</t>
  </si>
  <si>
    <t>FIELD - Expense Associated With Capital (Subscriptions)</t>
  </si>
  <si>
    <t>FIELD - Expense Associated With Capital</t>
  </si>
  <si>
    <t>BUD-CAP01</t>
  </si>
  <si>
    <t>CAPITAL SPEND</t>
  </si>
  <si>
    <t>Capital Expense</t>
  </si>
  <si>
    <t>CAPEX</t>
  </si>
  <si>
    <t>Capital Spend</t>
  </si>
  <si>
    <t>BUD-26078</t>
  </si>
  <si>
    <t>DELOITTE</t>
  </si>
  <si>
    <t>Executive TableTop fopr BoD</t>
  </si>
  <si>
    <t>Annual tabletop exercise for ELT and BOD</t>
  </si>
  <si>
    <t>BUD-26077</t>
  </si>
  <si>
    <t>DLP for LLMs</t>
  </si>
  <si>
    <t>Technology to control sensitive information from being uploaded to public LLMs</t>
  </si>
  <si>
    <t>BUD-26076</t>
  </si>
  <si>
    <t>PAYMENT ORCHESTRATION</t>
  </si>
  <si>
    <t>BUD-26075</t>
  </si>
  <si>
    <t>INCONTACT</t>
  </si>
  <si>
    <t>LiveVox</t>
  </si>
  <si>
    <t>BUD-26074</t>
  </si>
  <si>
    <t>LINKERD</t>
  </si>
  <si>
    <t>LinkerD</t>
  </si>
  <si>
    <t>ServiceMesh Observability for Automation Foundations (Justin)</t>
  </si>
  <si>
    <t>BUD-26073</t>
  </si>
  <si>
    <t>TERRAFORM</t>
  </si>
  <si>
    <t>Terraform</t>
  </si>
  <si>
    <t>Infra as Code Tool for Automation Foundations (Justin)</t>
  </si>
  <si>
    <t>BUD-26072</t>
  </si>
  <si>
    <t>MICROSOFT CORPORATION</t>
  </si>
  <si>
    <t>Aaron Lauterbach</t>
  </si>
  <si>
    <t>Microsoft Suite - Brigit</t>
  </si>
  <si>
    <t>Microsoft Suite - RAC Store</t>
  </si>
  <si>
    <t>Brigit</t>
  </si>
  <si>
    <t>BUD-26071</t>
  </si>
  <si>
    <t>SPECIALIZED SECURITY SERVICES</t>
  </si>
  <si>
    <t>Matt Kingsley</t>
  </si>
  <si>
    <t>S3 - Brigit - Application Penetration Testing and Application Risk Management Program</t>
  </si>
  <si>
    <t>New to FY26 for Brigit Integration. Matt provided the forecast. Include Brigit in the Enterprise PEN Testing and Application Risk Management Program (S3).  June and October budget impact</t>
  </si>
  <si>
    <t>BUD-26070</t>
  </si>
  <si>
    <t>GRANT THORNTON</t>
  </si>
  <si>
    <t>Brigit - SOC Audit (Grant Thornton)</t>
  </si>
  <si>
    <t xml:space="preserve">New to FY26 for Brigit Integration.  Extend the current SOC audit scope to include Brigit and monitor the effectiveness of Brigit’s SOC-related controls and the incorporation of deficiencies into the Risk Management Program. </t>
  </si>
  <si>
    <t>BUD-26069</t>
  </si>
  <si>
    <t>CYBERONE</t>
  </si>
  <si>
    <t>CyberOne Brigit - CSF Assessment (CyberOne)</t>
  </si>
  <si>
    <t xml:space="preserve">New to FY26 for Brigit Integration. Conduct a Cybersecurity Framework (CSF) Assessment in 2026 as preparation for Brigit joining the Enterprise CSF program. </t>
  </si>
  <si>
    <t>BUD-26068</t>
  </si>
  <si>
    <t>EUC/QA Area Refresh</t>
  </si>
  <si>
    <t>Remodel of the EUC and QA area to provide a better space for our EUC team to service our coworkers and have a QA space that better represents our store locations</t>
  </si>
  <si>
    <t>BUD-26067</t>
  </si>
  <si>
    <t>ServiceNow UI/UX / Self Service Portal Updates</t>
  </si>
  <si>
    <t>Budgeting $500k total based on previous estimates.  There is a cooresponding entry on the CapEx project list - line 22</t>
  </si>
  <si>
    <t>BUD-26066</t>
  </si>
  <si>
    <t>Budgeting $200k for this effort with an estimated 4 month duration.  $50k will be needed for F'27. There is a line item on the 2026 Projet list (line 21)</t>
  </si>
  <si>
    <t>BUD-26065</t>
  </si>
  <si>
    <t>ServiceNow - PowerBI Connector</t>
  </si>
  <si>
    <t>PowerBI Connector to ServiceNow for Enhanced Data Analysis and Reporting</t>
  </si>
  <si>
    <t>BUD-26064</t>
  </si>
  <si>
    <t>Microsoft W365 - VDI Replacement</t>
  </si>
  <si>
    <t>The is list price without Discounts.  Will also be right sized with reduction in licenses as we rollout Zscaler, also EA renewal will impact this cost.</t>
  </si>
  <si>
    <t>BUD-26063</t>
  </si>
  <si>
    <t>Capital One</t>
  </si>
  <si>
    <t>Adrian Cortinas</t>
  </si>
  <si>
    <t>Slingshot</t>
  </si>
  <si>
    <t>This software is for Snowflake Cost Optimization - average Capital One customer have a savings of 40% on Snowflake costs</t>
  </si>
  <si>
    <t>BUD-26062</t>
  </si>
  <si>
    <t>THOUSAND EYES (was AVIK)</t>
  </si>
  <si>
    <t>Oscar Trelles</t>
  </si>
  <si>
    <t>Avik End Point Device Network Monitoring Tool</t>
  </si>
  <si>
    <t>Voice &amp; Data</t>
  </si>
  <si>
    <t>End Point Device Network Monitoring Tool - *New* - Oscar sent note to John after initial submissions (Teams chat - 10/2/25) - quote was from Avik for $516.6K per year - anticipate starting in June</t>
  </si>
  <si>
    <t>BUD-26061</t>
  </si>
  <si>
    <t>Farooq Buvvaji</t>
  </si>
  <si>
    <t>Salesforce - Signature Success</t>
  </si>
  <si>
    <t>eCommerce</t>
  </si>
  <si>
    <t>BUD-26060</t>
  </si>
  <si>
    <t>Salesforce - AgentForce</t>
  </si>
  <si>
    <t>BUD-26059</t>
  </si>
  <si>
    <t>Salesforce - Referral Platform</t>
  </si>
  <si>
    <t>BUD-26058</t>
  </si>
  <si>
    <t>Salesforce - Rewards Platform</t>
  </si>
  <si>
    <t>BUD-26057</t>
  </si>
  <si>
    <t>INFOSYS</t>
  </si>
  <si>
    <t>Infosys - Support</t>
  </si>
  <si>
    <t>BUD-26056</t>
  </si>
  <si>
    <t>BUD-26055</t>
  </si>
  <si>
    <t>OPEN</t>
  </si>
  <si>
    <t>BUD-26054</t>
  </si>
  <si>
    <t>Confulent Cloud</t>
  </si>
  <si>
    <t>Tyson Malik, Mike Porras</t>
  </si>
  <si>
    <t>Apache Kafka/Flink on Confluent Cloud</t>
  </si>
  <si>
    <t>BUD-26053</t>
  </si>
  <si>
    <t>AVASOFT</t>
  </si>
  <si>
    <t>Tyson Malik</t>
  </si>
  <si>
    <t>Avasoft - DevEx Support</t>
  </si>
  <si>
    <t>BUD-26052</t>
  </si>
  <si>
    <t>KONG</t>
  </si>
  <si>
    <t>Mike Porras</t>
  </si>
  <si>
    <t>Kong API</t>
  </si>
  <si>
    <t>BUD-26051</t>
  </si>
  <si>
    <t>GRAFANA</t>
  </si>
  <si>
    <t>GRAFANA OSS/Cloud</t>
  </si>
  <si>
    <t>BUD-26050</t>
  </si>
  <si>
    <t>Microsoft Power BI</t>
  </si>
  <si>
    <t>BUD-26049</t>
  </si>
  <si>
    <t>Vendor OpEx Labor</t>
  </si>
  <si>
    <t>BUD-26048</t>
  </si>
  <si>
    <t>Infosys - Cloud Support Change Order</t>
  </si>
  <si>
    <t>BUD-26047</t>
  </si>
  <si>
    <t>Infosys - App Support for PowerBI &amp; Informatica Support</t>
  </si>
  <si>
    <t>BUD-26046</t>
  </si>
  <si>
    <t>Infosys - App Support for Active Directory</t>
  </si>
  <si>
    <t>BUD-26045</t>
  </si>
  <si>
    <t>Techsmith</t>
  </si>
  <si>
    <t>Chris Belk</t>
  </si>
  <si>
    <t>BUD-26044</t>
  </si>
  <si>
    <t>Adrian Cortinas/Mike Porras</t>
  </si>
  <si>
    <t>Azure Files Migration</t>
  </si>
  <si>
    <t>This will be used to migrate large business connected and application connected fileshares located on the aging and out of support RACNS platform from on-prem to Azure Files</t>
  </si>
  <si>
    <t>BUD-26043</t>
  </si>
  <si>
    <t>COTS AWS Accounts - RDS (Database as a Service)</t>
  </si>
  <si>
    <t>BUD-26042</t>
  </si>
  <si>
    <t>COTS AWS Accounts - ONTap (Storage replication)</t>
  </si>
  <si>
    <t>BUD-26041</t>
  </si>
  <si>
    <t>COTS AWS Accounts - DR Services</t>
  </si>
  <si>
    <t>BUD-26040</t>
  </si>
  <si>
    <t>COTS AWS Accounts - Compute</t>
  </si>
  <si>
    <t>BUD-26039</t>
  </si>
  <si>
    <t>MOBIUS PARTNERS</t>
  </si>
  <si>
    <t>Semperis Disaster Recovery for Entra Tenant</t>
  </si>
  <si>
    <t>BUD-26038</t>
  </si>
  <si>
    <t>INSIGHT</t>
  </si>
  <si>
    <t>SANNav Brocade Monitoring</t>
  </si>
  <si>
    <t>BUD-26037</t>
  </si>
  <si>
    <t>SYXSENSE</t>
  </si>
  <si>
    <t xml:space="preserve">Syxsense Patch Management </t>
  </si>
  <si>
    <t>BUD-26036</t>
  </si>
  <si>
    <t>ORACLE AMERICA INC</t>
  </si>
  <si>
    <t>Oracle Linux Premier Support for OLVM Database Cluster</t>
  </si>
  <si>
    <t>BUD-26035</t>
  </si>
  <si>
    <t>Oracle Database Support</t>
  </si>
  <si>
    <t>BUD-26034</t>
  </si>
  <si>
    <t>IRON MOUNTAIN</t>
  </si>
  <si>
    <t>Iron Mountain - NearLine Storage</t>
  </si>
  <si>
    <t>BUD-26033</t>
  </si>
  <si>
    <t>ZOHO CORPORATION</t>
  </si>
  <si>
    <t>Zoho - ManageEngine AD Audit applications</t>
  </si>
  <si>
    <t>BUD-26032</t>
  </si>
  <si>
    <t xml:space="preserve">Vmware </t>
  </si>
  <si>
    <t>VMWare - eLearning/In-Person Training</t>
  </si>
  <si>
    <t>Other - Training</t>
  </si>
  <si>
    <t>677010 - TRAINING MATERIALS AND OTHER</t>
  </si>
  <si>
    <t>TRAINING</t>
  </si>
  <si>
    <t>BUD-26031</t>
  </si>
  <si>
    <t>Cohesity Academy</t>
  </si>
  <si>
    <t>eLearning/In-Person Training</t>
  </si>
  <si>
    <t>BUD-26030</t>
  </si>
  <si>
    <t>NetApp Academy</t>
  </si>
  <si>
    <t>NetApp - eLearning/In-Person Training</t>
  </si>
  <si>
    <t>BUD-26029</t>
  </si>
  <si>
    <t>Udemy</t>
  </si>
  <si>
    <t>Udemy eLearning</t>
  </si>
  <si>
    <t>BUD-26028</t>
  </si>
  <si>
    <t>O'Reilly Media, Inc.</t>
  </si>
  <si>
    <t>O'Reilly Media eLearning</t>
  </si>
  <si>
    <t>BUD-26027</t>
  </si>
  <si>
    <t>Mobius Consulting Services - AD &amp; RACNS Remediation</t>
  </si>
  <si>
    <t>BUD-26026</t>
  </si>
  <si>
    <t>Cohesity Platform Expansion 2</t>
  </si>
  <si>
    <t>BUD-26025</t>
  </si>
  <si>
    <t>Avasoft - IAM Operations Support</t>
  </si>
  <si>
    <t>BUD-26024</t>
  </si>
  <si>
    <t>Alain Espinosa</t>
  </si>
  <si>
    <t>Digital Forensics Tool</t>
  </si>
  <si>
    <t>BUD-26023</t>
  </si>
  <si>
    <t>TCS/Avasoft/InfoSys</t>
  </si>
  <si>
    <t>Chris Williams</t>
  </si>
  <si>
    <t>General Consulting/Contractor Efforts</t>
  </si>
  <si>
    <t>BUD-26022</t>
  </si>
  <si>
    <t>GUIDEPOINT SECURITY LLC</t>
  </si>
  <si>
    <t>David Huynh</t>
  </si>
  <si>
    <t>Guidepoint Mobile Application Security Testing (MAST)</t>
  </si>
  <si>
    <t>BUD-26021</t>
  </si>
  <si>
    <t>YubiKey Management Console</t>
  </si>
  <si>
    <t>BUD-26020</t>
  </si>
  <si>
    <t>N/A</t>
  </si>
  <si>
    <t>Privacy Training Week</t>
  </si>
  <si>
    <t>BUD-26019</t>
  </si>
  <si>
    <t xml:space="preserve">Infosys Privacy Contractor </t>
  </si>
  <si>
    <t>BUD-26018</t>
  </si>
  <si>
    <t>TRACE3 LLC</t>
  </si>
  <si>
    <t>Zscaler Professional Services</t>
  </si>
  <si>
    <t>BUD-26017</t>
  </si>
  <si>
    <t>Zscaler Additional Licenses (QTY 500)</t>
  </si>
  <si>
    <t>BUD-26016</t>
  </si>
  <si>
    <t>TCS</t>
  </si>
  <si>
    <t>Network Security Engineering Contractor</t>
  </si>
  <si>
    <t>BUD-26015</t>
  </si>
  <si>
    <t>Zscaler Contractor to Assist with Planned FY26 Deliverables</t>
  </si>
  <si>
    <t>BUD-26014</t>
  </si>
  <si>
    <t>Security Awareness Month and Activities</t>
  </si>
  <si>
    <t>BUD-26013</t>
  </si>
  <si>
    <t>BUD-26012</t>
  </si>
  <si>
    <t>BUD-26011</t>
  </si>
  <si>
    <t>BUD-26010</t>
  </si>
  <si>
    <t>BUD-26009</t>
  </si>
  <si>
    <t>SMARTBEAR SOFTWARE INC</t>
  </si>
  <si>
    <t>Bill Rampey</t>
  </si>
  <si>
    <t xml:space="preserve">Smartbear - API Hub Upgrade </t>
  </si>
  <si>
    <t>IT Dev Tools</t>
  </si>
  <si>
    <t>BUD-26008</t>
  </si>
  <si>
    <t>POSTMAN</t>
  </si>
  <si>
    <t>Postman Upgrade</t>
  </si>
  <si>
    <t>BUD-26007</t>
  </si>
  <si>
    <t>Qtly</t>
  </si>
  <si>
    <t>Qualiti</t>
  </si>
  <si>
    <t>BUD-26006</t>
  </si>
  <si>
    <t>Code Climate</t>
  </si>
  <si>
    <t>BUD-26005</t>
  </si>
  <si>
    <t>BUD-26004</t>
  </si>
  <si>
    <t>BUD-26003</t>
  </si>
  <si>
    <t>BUD-26002</t>
  </si>
  <si>
    <t>BUD-26001</t>
  </si>
  <si>
    <t>BUD-01198</t>
  </si>
  <si>
    <t>Claude 3.5 Sonnet v2</t>
  </si>
  <si>
    <t>BUD-01197</t>
  </si>
  <si>
    <t>BRAINSHARK</t>
  </si>
  <si>
    <t>BUD-01196</t>
  </si>
  <si>
    <t>NETSYNC NETWORK SOLUTIONS INC</t>
  </si>
  <si>
    <t>Catalyst Support &amp; Maintenance</t>
  </si>
  <si>
    <t>BUD-01195</t>
  </si>
  <si>
    <t>XENSAM AB</t>
  </si>
  <si>
    <t>XENSAM</t>
  </si>
  <si>
    <t>BUD-01194</t>
  </si>
  <si>
    <t>INKLING SYSTEMS INC</t>
  </si>
  <si>
    <t>INKLING</t>
  </si>
  <si>
    <t>BUD-01193</t>
  </si>
  <si>
    <t>DATAROBOT</t>
  </si>
  <si>
    <t>BUD-01192</t>
  </si>
  <si>
    <t>VMWare Environment Upgrade</t>
  </si>
  <si>
    <t>Sabadie "upgrade in our VMWare environment from VSphere 7 to VSphere 8 in 2025"</t>
  </si>
  <si>
    <t>BUD-01191</t>
  </si>
  <si>
    <t>PROVENIR</t>
  </si>
  <si>
    <t>Stuart Schultes</t>
  </si>
  <si>
    <t>Underwriting</t>
  </si>
  <si>
    <t>BUD-01190</t>
  </si>
  <si>
    <t>AMAZON AWS Reserved Instances : Database (Acima)</t>
  </si>
  <si>
    <t>Cloud Computing Services</t>
  </si>
  <si>
    <t>Acima Direct</t>
  </si>
  <si>
    <t>Acima</t>
  </si>
  <si>
    <t>BUD-01189</t>
  </si>
  <si>
    <t>GITKRAKEN SOFTWARE</t>
  </si>
  <si>
    <t>CREDIT CARD</t>
  </si>
  <si>
    <t>Andy Webster</t>
  </si>
  <si>
    <t>BUD-01188</t>
  </si>
  <si>
    <t>LEMSQZY</t>
  </si>
  <si>
    <t>Michael Tinglin</t>
  </si>
  <si>
    <t>BUD-01187</t>
  </si>
  <si>
    <t>PAGEFLOWS.COM</t>
  </si>
  <si>
    <t>BUD-01186</t>
  </si>
  <si>
    <t>MOBBIN.COM</t>
  </si>
  <si>
    <t>BUD-01185</t>
  </si>
  <si>
    <t>APL</t>
  </si>
  <si>
    <t>BUD-01184</t>
  </si>
  <si>
    <t>FIRESIDE PODCASTING</t>
  </si>
  <si>
    <t>BUD-01183</t>
  </si>
  <si>
    <t>FONT AWESOME PRO MAX</t>
  </si>
  <si>
    <t>BUD-01182</t>
  </si>
  <si>
    <t>OPENAI</t>
  </si>
  <si>
    <t>BUD-01181</t>
  </si>
  <si>
    <t>SPI</t>
  </si>
  <si>
    <t>BUD-01180</t>
  </si>
  <si>
    <t>VISUALSITEMAPS.COM</t>
  </si>
  <si>
    <t>BUD-01179</t>
  </si>
  <si>
    <t>KARAFKA PRO</t>
  </si>
  <si>
    <t>BUD-01178</t>
  </si>
  <si>
    <t>PADDLE.NET</t>
  </si>
  <si>
    <t>BUD-01177</t>
  </si>
  <si>
    <t>DOCKER, INC.</t>
  </si>
  <si>
    <t>BUD-01176</t>
  </si>
  <si>
    <t>BCM ONE INC</t>
  </si>
  <si>
    <t>Brad Stratton</t>
  </si>
  <si>
    <t>BCM ONE</t>
  </si>
  <si>
    <t>BUD-01175</t>
  </si>
  <si>
    <t>MESSAGEBIRD UK PUSHER</t>
  </si>
  <si>
    <t>MessageBird</t>
  </si>
  <si>
    <t>BUD-01174</t>
  </si>
  <si>
    <t>DNH</t>
  </si>
  <si>
    <t>BUD-01173</t>
  </si>
  <si>
    <t>SINGULAR LABS</t>
  </si>
  <si>
    <t>Singular Labs - deep linking services and digital media attribution</t>
  </si>
  <si>
    <t>SLC</t>
  </si>
  <si>
    <t>Deep linking services and digital media attribution</t>
  </si>
  <si>
    <t>BUD-01172</t>
  </si>
  <si>
    <t>APPCUES</t>
  </si>
  <si>
    <t xml:space="preserve">Appcues Grow v2.1 </t>
  </si>
  <si>
    <t>Merchant Portal functionality</t>
  </si>
  <si>
    <t>BUD-01171</t>
  </si>
  <si>
    <t>SINCH MAILGUN</t>
  </si>
  <si>
    <t>Sinch Mailgun</t>
  </si>
  <si>
    <t>BUD-01170</t>
  </si>
  <si>
    <t>NGROK INC.</t>
  </si>
  <si>
    <t>NGROK</t>
  </si>
  <si>
    <t>BUD-01169</t>
  </si>
  <si>
    <t>FIGMA</t>
  </si>
  <si>
    <t>Figma</t>
  </si>
  <si>
    <t>BUD-01167</t>
  </si>
  <si>
    <t>FORTITUDE INTERNATIONAL LLC</t>
  </si>
  <si>
    <t>Alfred Zhao</t>
  </si>
  <si>
    <t>Consulting from Fortitude International</t>
  </si>
  <si>
    <t>667040 - OP EXP OUTSIDE SVCS CONTR CONSLT TIME</t>
  </si>
  <si>
    <t>BUD-01166</t>
  </si>
  <si>
    <t>Axiom</t>
  </si>
  <si>
    <t>Axiom Service - Printers - FLAT RATE LABOR</t>
  </si>
  <si>
    <t>BUD-01165</t>
  </si>
  <si>
    <t>OCBAWS Skill Builder</t>
  </si>
  <si>
    <t>BUD-01164</t>
  </si>
  <si>
    <t>BOOZ ALLEN HAMILTON INC</t>
  </si>
  <si>
    <t>Booz Allen Security Incident Fees</t>
  </si>
  <si>
    <t>679240 - OTHER</t>
  </si>
  <si>
    <t>BUD-01163</t>
  </si>
  <si>
    <t xml:space="preserve">LEGAL </t>
  </si>
  <si>
    <t>Legal - Security Incident Fees</t>
  </si>
  <si>
    <t>BUD-01162</t>
  </si>
  <si>
    <t>Infosys Support Other</t>
  </si>
  <si>
    <t>BUD-01161</t>
  </si>
  <si>
    <t>Infosys Support Cloud Ops</t>
  </si>
  <si>
    <t>BUD-01160</t>
  </si>
  <si>
    <t>Infosys Support Infra and DB Mgmt</t>
  </si>
  <si>
    <t>BUD-01159</t>
  </si>
  <si>
    <t>Infosys Support Application</t>
  </si>
  <si>
    <t>BUD-01158</t>
  </si>
  <si>
    <t>Avasoft Resources</t>
  </si>
  <si>
    <t>BUD-01157</t>
  </si>
  <si>
    <t>KALIBRATE</t>
  </si>
  <si>
    <t>Andy Bowers</t>
  </si>
  <si>
    <t>Kalibrate KLI Software</t>
  </si>
  <si>
    <t>BUD-01156</t>
  </si>
  <si>
    <t>HIGH TOUCH INC</t>
  </si>
  <si>
    <t>HIGH TOUCH - RSSS development</t>
  </si>
  <si>
    <t>RAC</t>
  </si>
  <si>
    <t>BUD-01155</t>
  </si>
  <si>
    <t>BROWSERSTACK</t>
  </si>
  <si>
    <t>Browserstack- testing infrastructure of different browsers and Operating Systems</t>
  </si>
  <si>
    <t>BUD-01154</t>
  </si>
  <si>
    <t>BROADCOM</t>
  </si>
  <si>
    <t>Clarity SPM Portfolio Management</t>
  </si>
  <si>
    <t>BUD-01153</t>
  </si>
  <si>
    <t>ROBERT HALF</t>
  </si>
  <si>
    <t>Recruiting</t>
  </si>
  <si>
    <t>BUD-01152</t>
  </si>
  <si>
    <t>AIRFOCUS</t>
  </si>
  <si>
    <t>Chad Loiseau / JC</t>
  </si>
  <si>
    <t>Airfocus Scale</t>
  </si>
  <si>
    <t>BUD-01151</t>
  </si>
  <si>
    <t>INCOMM</t>
  </si>
  <si>
    <t>Vanilla</t>
  </si>
  <si>
    <t>BUD-01150</t>
  </si>
  <si>
    <t>ATMOSERA</t>
  </si>
  <si>
    <t>R25-5A4433 GitHub Migration</t>
  </si>
  <si>
    <t>BUD-01149</t>
  </si>
  <si>
    <t>Juan Rajani</t>
  </si>
  <si>
    <t>HIGH TOUCH - Special Weekend Support</t>
  </si>
  <si>
    <t>667010 - OP EXP OUTSIDE SVCS HT</t>
  </si>
  <si>
    <t>BUD-01148</t>
  </si>
  <si>
    <t>INTUITION MACHINES INC</t>
  </si>
  <si>
    <t>hCapthcha - 2 Million Monthly serves</t>
  </si>
  <si>
    <t>BUD-01147</t>
  </si>
  <si>
    <t>ARIN</t>
  </si>
  <si>
    <t>Annual Fee for Registration Services Plan -</t>
  </si>
  <si>
    <t>BUD-01146</t>
  </si>
  <si>
    <t>MARQETA</t>
  </si>
  <si>
    <t>Marqeta Service - RiskControl Implementation Fee</t>
  </si>
  <si>
    <t>BUD-01145</t>
  </si>
  <si>
    <t>MATERIAL HOLDINGS</t>
  </si>
  <si>
    <t>Medalia - Voice of Merchant</t>
  </si>
  <si>
    <t>Marketing</t>
  </si>
  <si>
    <t>BUD-01144</t>
  </si>
  <si>
    <t>Vulnerability Remediation</t>
  </si>
  <si>
    <t>BUD-01143</t>
  </si>
  <si>
    <t xml:space="preserve">Grant Thorton - SOC 2 Certfication for Acima </t>
  </si>
  <si>
    <t>BUD-01142</t>
  </si>
  <si>
    <t>CyberOne Purple Team Penetration Testing</t>
  </si>
  <si>
    <t>BUD-01141</t>
  </si>
  <si>
    <t>Rapid7 Threat intellegence platform</t>
  </si>
  <si>
    <t>BUD-01140</t>
  </si>
  <si>
    <t>Open</t>
  </si>
  <si>
    <t>Infosys D2C - Design Thinking Workshop</t>
  </si>
  <si>
    <t>BUD-01139</t>
  </si>
  <si>
    <t>Infosys Data Architecture Assessment</t>
  </si>
  <si>
    <t>BUD-01138</t>
  </si>
  <si>
    <t>Infosys Data Services – Month End Close</t>
  </si>
  <si>
    <t>BUD-01137</t>
  </si>
  <si>
    <t>GRID DYNAMICS</t>
  </si>
  <si>
    <t>Jared Dinerstein</t>
  </si>
  <si>
    <t>Grid Dynamics Proof of Concept</t>
  </si>
  <si>
    <t>BUD-01136</t>
  </si>
  <si>
    <t>Justin Caldwell</t>
  </si>
  <si>
    <t>Apache Kafka and Apache Flink</t>
  </si>
  <si>
    <t>BUD-01135</t>
  </si>
  <si>
    <t>SHI CORP</t>
  </si>
  <si>
    <t>Camtasia / Snagit</t>
  </si>
  <si>
    <t>BUD-01134</t>
  </si>
  <si>
    <t>DELIVERY SOLUTIONS</t>
  </si>
  <si>
    <t>Delivery Solutions License Fee</t>
  </si>
  <si>
    <t>BUD-01132</t>
  </si>
  <si>
    <t>Ayse Ethem</t>
  </si>
  <si>
    <t>Infosys Project Management Contract Labor</t>
  </si>
  <si>
    <t>BUD-01131</t>
  </si>
  <si>
    <t>JFROG SOFTWARE SUPPLY CHAIN PLATFORM</t>
  </si>
  <si>
    <t>Store Operations</t>
  </si>
  <si>
    <t>BUD-01130</t>
  </si>
  <si>
    <t>REPAY</t>
  </si>
  <si>
    <t>Repay - Acima - Instant Funding Fees</t>
  </si>
  <si>
    <t>BUD-01129</t>
  </si>
  <si>
    <t>BeyondTrust</t>
  </si>
  <si>
    <t>BUD-01128</t>
  </si>
  <si>
    <t>SEDGWICK CMS</t>
  </si>
  <si>
    <t>Sedgwick - RENT A CENTER SSO TO VIAONE</t>
  </si>
  <si>
    <t>BUD-01127</t>
  </si>
  <si>
    <t>HR Recruitment</t>
  </si>
  <si>
    <t>BUD-01126</t>
  </si>
  <si>
    <t>ADVAN</t>
  </si>
  <si>
    <t>ADVAN Reveal Platform - 3 users</t>
  </si>
  <si>
    <t>BUD-01125</t>
  </si>
  <si>
    <t>WACHTER</t>
  </si>
  <si>
    <t>Store hardware support technicians</t>
  </si>
  <si>
    <t>Hardware Subscriptions</t>
  </si>
  <si>
    <t>662020 - OP EXP SERVICE PARTS SUPPLIES</t>
  </si>
  <si>
    <t>PARTS &amp; SUPPLIES</t>
  </si>
  <si>
    <t>BUD-01124x</t>
  </si>
  <si>
    <t>Rewards &amp; Recognition</t>
  </si>
  <si>
    <t>677050 - SERVICE AWARDS</t>
  </si>
  <si>
    <t>OTHER G&amp;A</t>
  </si>
  <si>
    <t>BUD-01124</t>
  </si>
  <si>
    <t>BUD-01123</t>
  </si>
  <si>
    <t>MoveIt</t>
  </si>
  <si>
    <t>MOVEit encrypts data at rest and in motion and provides IT security controls for sensitive business data</t>
  </si>
  <si>
    <t>BUD-01122</t>
  </si>
  <si>
    <t>Various software and other purchases</t>
  </si>
  <si>
    <t>BUD-01121</t>
  </si>
  <si>
    <t>donotcall.gov</t>
  </si>
  <si>
    <t>Credit Card</t>
  </si>
  <si>
    <t>National Do Not Call Registry</t>
  </si>
  <si>
    <t>The National Do Not Call Registry gives you a choice about whether to receive telemarketing calls</t>
  </si>
  <si>
    <t>BUD-01120</t>
  </si>
  <si>
    <t>VGS</t>
  </si>
  <si>
    <t>VGS Platform alternative to Token Ex</t>
  </si>
  <si>
    <t>BUD-01119</t>
  </si>
  <si>
    <t>Replacement for Code Climate</t>
  </si>
  <si>
    <t>BUD-01118</t>
  </si>
  <si>
    <t>Tempo</t>
  </si>
  <si>
    <t>Tempo Structure Tool</t>
  </si>
  <si>
    <t>project and program management solution that provides teams with unlimited ways to manage issues, track progress, and report on work.</t>
  </si>
  <si>
    <t>BUD-01117</t>
  </si>
  <si>
    <t>Google Vertex AI Search consumption</t>
  </si>
  <si>
    <t>BUD-01116</t>
  </si>
  <si>
    <t>BUD-01115</t>
  </si>
  <si>
    <t>GOOGLE INC</t>
  </si>
  <si>
    <t>Google AI CLOUD CONSUMPTION</t>
  </si>
  <si>
    <t>cloud computing services to develop, deploy, and operate AI workloads. </t>
  </si>
  <si>
    <t>AI</t>
  </si>
  <si>
    <t>BUD-01114</t>
  </si>
  <si>
    <t>Project/Initiative : Conversion of generic DM/RD mailboxes</t>
  </si>
  <si>
    <t>Conversion of generic DM/RD mailboxes</t>
  </si>
  <si>
    <t>BUD-01113</t>
  </si>
  <si>
    <t>Project/Initiative : Email box setup for Field store coworkers/conversion of store mailboxes to shared mailbox</t>
  </si>
  <si>
    <t xml:space="preserve"> Email box setup for Field store coworkers/conversion of store mailboxes to shared mailbox</t>
  </si>
  <si>
    <t>BUD-01112</t>
  </si>
  <si>
    <t>Cisco DUO</t>
  </si>
  <si>
    <t>Verifies user trust, establishes device trust, and provides secure access to company apps and networks-from wherever users are logging in.</t>
  </si>
  <si>
    <t>BUD-01111</t>
  </si>
  <si>
    <t>NetSync</t>
  </si>
  <si>
    <t>Netsync - Contracting resources for Support</t>
  </si>
  <si>
    <t>Contracting resources for Support</t>
  </si>
  <si>
    <t>BUD-01110</t>
  </si>
  <si>
    <t>Semperis-DSP Security for EntraID (SKU DSPAADSECURITY)</t>
  </si>
  <si>
    <t>Directory Service protector</t>
  </si>
  <si>
    <t>BUD-01109</t>
  </si>
  <si>
    <t>Semperis-DSP Intelligence for EntraID (SKU DSPAADINTELLIGENCE)</t>
  </si>
  <si>
    <t>BUD-01108</t>
  </si>
  <si>
    <t>Material Managed Services</t>
  </si>
  <si>
    <t>Material Managed Service - For Medallia</t>
  </si>
  <si>
    <t xml:space="preserve">It helps businesses gather feedback, analyze data, and take action to improve experiences across various touchpoints. The platform uses AI and machine learning to reveal insights and drive business outcomes like increased customer loyalty and reduced churn. </t>
  </si>
  <si>
    <t>BUD-01107</t>
  </si>
  <si>
    <t>BUD-01106</t>
  </si>
  <si>
    <t>BUD-01105</t>
  </si>
  <si>
    <t>BUD-01104</t>
  </si>
  <si>
    <t>TX EXPENSE ACCRUAL</t>
  </si>
  <si>
    <t>679110 - OTHER TAX SALES USE</t>
  </si>
  <si>
    <t>BUD-01103</t>
  </si>
  <si>
    <t>COMMUNICATIONS - NETWORK</t>
  </si>
  <si>
    <t>664030 - OP EXP COMM NETWORK CONNECT</t>
  </si>
  <si>
    <t>COMMUNICATIONS</t>
  </si>
  <si>
    <t>Store Count</t>
  </si>
  <si>
    <t>BUD-01102</t>
  </si>
  <si>
    <t>COMMUNICATIONS - OTHER</t>
  </si>
  <si>
    <t>664070 - OP EXP COMM OTHER</t>
  </si>
  <si>
    <t>BUD-01101</t>
  </si>
  <si>
    <t>BUD-01100</t>
  </si>
  <si>
    <t>COMMUNICATIONS - EQUIP</t>
  </si>
  <si>
    <t>664010 - OP EXP COMM EQUIP PARTS</t>
  </si>
  <si>
    <t>BUD-01099</t>
  </si>
  <si>
    <t>COMMUNICATIONS - WIRELESS</t>
  </si>
  <si>
    <t>664040 - OP EXP COMM WIRELESS</t>
  </si>
  <si>
    <t>BUD-01098</t>
  </si>
  <si>
    <t>G&amp;A TRAVEL</t>
  </si>
  <si>
    <t>Other - Travel</t>
  </si>
  <si>
    <t>671010 - TRAVEL AND OTHER</t>
  </si>
  <si>
    <t>BUD-01097x</t>
  </si>
  <si>
    <t>BUD-01097</t>
  </si>
  <si>
    <t>BUD-01096</t>
  </si>
  <si>
    <t>Other - Supplies</t>
  </si>
  <si>
    <t>BUD-01095</t>
  </si>
  <si>
    <t>BUD-01094</t>
  </si>
  <si>
    <t>679080 - OP EXP OTHER MISC</t>
  </si>
  <si>
    <t>BUD-01093</t>
  </si>
  <si>
    <t>APPDIRECT</t>
  </si>
  <si>
    <t>Warehousing Services</t>
  </si>
  <si>
    <t>BUD-01092</t>
  </si>
  <si>
    <t>BUD-01091</t>
  </si>
  <si>
    <t>Microsoft Suite - Acima Store</t>
  </si>
  <si>
    <t>BUD-01090</t>
  </si>
  <si>
    <t>Infosys Unstructured Data Discovery implementation within M365 ecosystem</t>
  </si>
  <si>
    <t>Unstructured Data Discovery implementation within M365 ecosystem</t>
  </si>
  <si>
    <t>BUD-01089</t>
  </si>
  <si>
    <t xml:space="preserve">TBD for RFP Partner Transition </t>
  </si>
  <si>
    <t>NEW</t>
  </si>
  <si>
    <t xml:space="preserve">Project Support for RFP Partner Transition </t>
  </si>
  <si>
    <t>BUD-01088</t>
  </si>
  <si>
    <t>Additional Securiti POD for data and functionality</t>
  </si>
  <si>
    <t>A framework that enables engineers to share and restrict privileges for different kinds of pods and users.</t>
  </si>
  <si>
    <t>BUD-01087</t>
  </si>
  <si>
    <t>Simeio/ObserveID or equivalent</t>
  </si>
  <si>
    <t>Identity Governance Administration Platform (IGA)</t>
  </si>
  <si>
    <t>BUD-01086</t>
  </si>
  <si>
    <t>Semperis-DSP Intelligence</t>
  </si>
  <si>
    <t>Semperis experts work with you to analyze your business goals in a disaster</t>
  </si>
  <si>
    <t>BUD-01085</t>
  </si>
  <si>
    <t>Abnormal Security -  Email Security Platform</t>
  </si>
  <si>
    <t>Cloud email Security - Block malicious email attacks</t>
  </si>
  <si>
    <t>BUD-01084</t>
  </si>
  <si>
    <t>Security Engineering</t>
  </si>
  <si>
    <t>Implementation cost - ZSCALER</t>
  </si>
  <si>
    <t xml:space="preserve">Prof Svcs - a cloud-based cybersecurity company that offers a suite of security services built around the concept of zero trust. </t>
  </si>
  <si>
    <t>BUD-01083</t>
  </si>
  <si>
    <t>Infosys Cost to implement Microsoft Purview across the enterprise</t>
  </si>
  <si>
    <t>BUD-01082</t>
  </si>
  <si>
    <t>Crowstrike Sandbox</t>
  </si>
  <si>
    <t>Sandboxing in cybersecurity isolates and analyzes potentially malicious files in a secure, controlled environment to assess their behavior and potential threats without risking the real system.</t>
  </si>
  <si>
    <t>BUD-01081</t>
  </si>
  <si>
    <t>Vulnerability management/consolidation platform</t>
  </si>
  <si>
    <t>BUD-01080</t>
  </si>
  <si>
    <t>OUTTHINK</t>
  </si>
  <si>
    <t>OutThink Security Awareness Training</t>
  </si>
  <si>
    <t>Replaces Proofpoint | Security Awareness training modules embedded and delivered via ADP</t>
  </si>
  <si>
    <t>BUD-01079</t>
  </si>
  <si>
    <t>Red Team Exercise</t>
  </si>
  <si>
    <t>BUD-01078</t>
  </si>
  <si>
    <t>CISO Advisory Board</t>
  </si>
  <si>
    <t>CISO Advisory Board plus external advisors</t>
  </si>
  <si>
    <t>BUD-01077</t>
  </si>
  <si>
    <t xml:space="preserve">IVR, Agentd, </t>
  </si>
  <si>
    <t>IVR (Interactive Voice Response) and live agents are components of a modern customer service system, offering distinct but complementary approaches to handling calls.</t>
  </si>
  <si>
    <t>BUD-01076</t>
  </si>
  <si>
    <t>Cisco Smartnet SW Support</t>
  </si>
  <si>
    <t>provides comprehensive technical support and maintenance for Cisco software products.</t>
  </si>
  <si>
    <t>BUD-01075</t>
  </si>
  <si>
    <t>COGITECH SOLUTIONS LLC</t>
  </si>
  <si>
    <t>Cogitech Contracting resources</t>
  </si>
  <si>
    <t>BUD-01074</t>
  </si>
  <si>
    <t>WEBCHECK SECURITY</t>
  </si>
  <si>
    <t>David Hunyh</t>
  </si>
  <si>
    <t>BUD-01073</t>
  </si>
  <si>
    <t>CELEBRITE</t>
  </si>
  <si>
    <t>Celebrite Computer backups</t>
  </si>
  <si>
    <t>Digital forensic tools and solutions - Combination of software and hardware used for  taking forensic backups of devices</t>
  </si>
  <si>
    <t>BUD-01072</t>
  </si>
  <si>
    <t>Iron Mountain - Destruction of the old paper records at stores and Iron mountain facility</t>
  </si>
  <si>
    <t>BUD-01070</t>
  </si>
  <si>
    <t>VERIFONE</t>
  </si>
  <si>
    <t>Verifone VHQ</t>
  </si>
  <si>
    <t>estate management software suite. Provides users with management tools for data collection, downloads, remote diagnostics and content management</t>
  </si>
  <si>
    <t>BUD-01069</t>
  </si>
  <si>
    <t>SERVICE EXPRESS INC</t>
  </si>
  <si>
    <t>Asset Destruction</t>
  </si>
  <si>
    <t>Service Express provides IT Asset Disposition (ITAD) services, which include secure data destruction and disposal of IT equipment</t>
  </si>
  <si>
    <t>BUD-01068</t>
  </si>
  <si>
    <t>Rollbar</t>
  </si>
  <si>
    <t>Error logging and Tracking service</t>
  </si>
  <si>
    <t>BUD-01067</t>
  </si>
  <si>
    <t>Robert Mark Technology</t>
  </si>
  <si>
    <t>CAWA Support (likely Outside Labor - emergency service in '24)</t>
  </si>
  <si>
    <t>BUD-01066</t>
  </si>
  <si>
    <t>RetirePC</t>
  </si>
  <si>
    <t>Retire PC - FSC device ewaste</t>
  </si>
  <si>
    <t>Retire PC  FSC device ewaste</t>
  </si>
  <si>
    <t>BUD-01065</t>
  </si>
  <si>
    <t xml:space="preserve">Semperis Directory Services Protector (DSP) is a security solution focused on Active Directory (AD) and Azure AD protection. It provides continuous monitoring and automated rollback capabilities to detect and respond to threats, ensuring the security and integrity of hybrid AD environments. DSP offers features like vulnerability assessment, automated remediation, forensic analysis, and reporting. </t>
  </si>
  <si>
    <t>BUD-01064</t>
  </si>
  <si>
    <t>Semperis ADFR - Immutable Backups</t>
  </si>
  <si>
    <t>BUD-01063</t>
  </si>
  <si>
    <t>Semperis SDP</t>
  </si>
  <si>
    <t>BUD-01062</t>
  </si>
  <si>
    <t>OMNISSA - Horizon/VDI</t>
  </si>
  <si>
    <t>Products that securely deliver virtual desktops and apps on a modern architecture</t>
  </si>
  <si>
    <t>BUD-01061</t>
  </si>
  <si>
    <t>Microsoft Windows Server</t>
  </si>
  <si>
    <t xml:space="preserve">Manage network resources, host applications, and provide a platform for various services, including web servers, databases, and more. The backbone for many IT infrastructures, both on-premises and in the cloud. </t>
  </si>
  <si>
    <t>BUD-01060</t>
  </si>
  <si>
    <t>PGAnalyze</t>
  </si>
  <si>
    <t>PGAnalyze (DB Diagnostics) - Expansion</t>
  </si>
  <si>
    <t>DBAs and developers use pganalyze to identify the root cause of performance issues, optimize queries and to get alerts about critical issues.</t>
  </si>
  <si>
    <t>BUD-01059</t>
  </si>
  <si>
    <t>PGAnalyze (DB Diagnostics)</t>
  </si>
  <si>
    <t>BUD-01058</t>
  </si>
  <si>
    <t>IT Oper - Compute</t>
  </si>
  <si>
    <t>BUD-01057</t>
  </si>
  <si>
    <t>IT Oper - ONTap (Storage replication)</t>
  </si>
  <si>
    <t>BUD-01056</t>
  </si>
  <si>
    <t>IT Oper - DR Services</t>
  </si>
  <si>
    <t>BUD-01055</t>
  </si>
  <si>
    <t>IT Oper - Oracle RDS</t>
  </si>
  <si>
    <t>BUD-01054</t>
  </si>
  <si>
    <t>Device42</t>
  </si>
  <si>
    <t>Device 42 DCIM - Data Center Infrastructure Management</t>
  </si>
  <si>
    <t>BUD-01053</t>
  </si>
  <si>
    <t>BUD-01052</t>
  </si>
  <si>
    <t>Cohesity Platform Expansion</t>
  </si>
  <si>
    <t xml:space="preserve">Cohesity has significantly expanded its data security and management platform, with key developments in AI, cybersecurity, and cloud integrations. </t>
  </si>
  <si>
    <t>BUD-01051</t>
  </si>
  <si>
    <t>Hybris off AWS expected decrease</t>
  </si>
  <si>
    <t>reduction in Cloud Computing Services</t>
  </si>
  <si>
    <t>BUD-01050</t>
  </si>
  <si>
    <t>Salesforce - Marketing Campaigns</t>
  </si>
  <si>
    <t>BUD-01049</t>
  </si>
  <si>
    <t>Salesforce Account Management within Sales Cloud refers to the set of features and tools designed to help sales teams manage customer relationships, track interactions, and drive sales growth. </t>
  </si>
  <si>
    <t>BUD-01048</t>
  </si>
  <si>
    <t>Salesforce - Commerce Cloud - B2C</t>
  </si>
  <si>
    <t xml:space="preserve">Salesforce Commerce Cloud is a cloud-based platform for building and managing online stores, catering to both business-to-consumer (B2C) and business-to-business (B2B) transactions. </t>
  </si>
  <si>
    <t>BUD-01047</t>
  </si>
  <si>
    <t>Smartbear - Stoplight enterprise platform</t>
  </si>
  <si>
    <t>132220 - ACIMA PREPAID SUBSCRIPTIONS</t>
  </si>
  <si>
    <t>Stoplight is a collaborative API design platform that enables you to build excellent APIs and create scalable API programs that fuel innovation.</t>
  </si>
  <si>
    <t>BUD-01046</t>
  </si>
  <si>
    <t>AON RISK SERVICES CENTRAL INC</t>
  </si>
  <si>
    <t>Cyber Liability</t>
  </si>
  <si>
    <t>BUD-01045</t>
  </si>
  <si>
    <t>BUD-01044</t>
  </si>
  <si>
    <t>Third Party Expense Labor / Training, Change Management</t>
  </si>
  <si>
    <t>Professional Services</t>
  </si>
  <si>
    <t>BUD-01043</t>
  </si>
  <si>
    <t>AppleCare</t>
  </si>
  <si>
    <t>BUD-01042</t>
  </si>
  <si>
    <t>RETAIL &amp; HOSPITALITY ISAC</t>
  </si>
  <si>
    <t>Info sharing and Analysis center-facilitates the sharing of threat information and best practices related to cybersecurity and physical security within specific critical infrastructure sectors.</t>
  </si>
  <si>
    <t>BUD-01041</t>
  </si>
  <si>
    <t>Brocade Support</t>
  </si>
  <si>
    <t>SW maintenance</t>
  </si>
  <si>
    <t>BUD-01040</t>
  </si>
  <si>
    <t>Adaptive Security</t>
  </si>
  <si>
    <t>BUD-01039</t>
  </si>
  <si>
    <t>TIMEVALUE SOFTWARE</t>
  </si>
  <si>
    <t>Tax Interest Subscription</t>
  </si>
  <si>
    <t>software for tax, legal, leasing and banking</t>
  </si>
  <si>
    <t>Finance</t>
  </si>
  <si>
    <t>BUD-01038</t>
  </si>
  <si>
    <t>Zephyr</t>
  </si>
  <si>
    <t>BUD-01037</t>
  </si>
  <si>
    <t>ENT Sandbox</t>
  </si>
  <si>
    <t>BUD-01036</t>
  </si>
  <si>
    <t>ProofPoint</t>
  </si>
  <si>
    <t>BUD-01035</t>
  </si>
  <si>
    <t>Security Score Card Platform</t>
  </si>
  <si>
    <t>enable enterprises to safely harness the incredible power of data and the cloud by controlling the complex security, compliance and privacy risks</t>
  </si>
  <si>
    <t>BUD-01034</t>
  </si>
  <si>
    <t>Securiti - Data Intelligence Data Mapping</t>
  </si>
  <si>
    <t>BUD-01033</t>
  </si>
  <si>
    <t>Palo Alto - Expander Platform</t>
  </si>
  <si>
    <t>BUD-01032</t>
  </si>
  <si>
    <t>EORIGINAL INC</t>
  </si>
  <si>
    <t>David Lane</t>
  </si>
  <si>
    <t>eOriginal</t>
  </si>
  <si>
    <t>a platform that enables the digital management and securitization of financial assets, particularly loans, from origination to the secondary market</t>
  </si>
  <si>
    <t>BUD-01031</t>
  </si>
  <si>
    <t>DBEAVER CORPORATION</t>
  </si>
  <si>
    <t>Dbeaver Enterprise Subscription</t>
  </si>
  <si>
    <t xml:space="preserve">cross-platform database tool for developers, database administrators, analysts, and everyone working with data. </t>
  </si>
  <si>
    <t>BUD-01030</t>
  </si>
  <si>
    <t>NEURAFLASH LLC</t>
  </si>
  <si>
    <t>Neuraflash UI/UX Bundle</t>
  </si>
  <si>
    <t>enhances the UI/UX of Salesforce's Agentforce platform</t>
  </si>
  <si>
    <t>BUD-01029</t>
  </si>
  <si>
    <t>COGNIZANT WORLDWIDE LIMITED</t>
  </si>
  <si>
    <t>Cognizant AWS resource</t>
  </si>
  <si>
    <t>BUD-01028</t>
  </si>
  <si>
    <t>DELINEA INC</t>
  </si>
  <si>
    <t>Delinea Secret Server Cloud</t>
  </si>
  <si>
    <t xml:space="preserve">Enterprise PAM </t>
  </si>
  <si>
    <t>BUD-01027</t>
  </si>
  <si>
    <t>Secure CRT</t>
  </si>
  <si>
    <t>BUD-01026</t>
  </si>
  <si>
    <t>Cognizant SOW for Cloud DB resources</t>
  </si>
  <si>
    <t>BUD-01023</t>
  </si>
  <si>
    <t>TBD - Initiative incremental 3rd Party Labor</t>
  </si>
  <si>
    <t>Acima Initiative incremental 3rd Party Labor</t>
  </si>
  <si>
    <t>BUD-00999</t>
  </si>
  <si>
    <t>Ovation / LMS [a]</t>
  </si>
  <si>
    <t>Ovation / LMS Printer Service - Flat Rate Labor</t>
  </si>
  <si>
    <t>BUD-00998</t>
  </si>
  <si>
    <t>CLOVER</t>
  </si>
  <si>
    <t>CLOVER [a]</t>
  </si>
  <si>
    <t>BUD-00942</t>
  </si>
  <si>
    <t>VERIZON WIRELESS SERVICES</t>
  </si>
  <si>
    <t>BUD-00890</t>
  </si>
  <si>
    <t>Sisense SF, Inc.</t>
  </si>
  <si>
    <t>Sisense - Database tools/query management - contracted through 2025</t>
  </si>
  <si>
    <t>BUD-00881</t>
  </si>
  <si>
    <t>Tableau Data visualization</t>
  </si>
  <si>
    <t>BUD-00704</t>
  </si>
  <si>
    <t>AppDirect is not primarily a warehousing service. Instead, it's a subscription commerce platform that helps businesses manage and distribute technology solutions like software and services. While AppDirect doesn't directly handle warehousing, it can be used to manage and automate the distribution of products that may be stored in warehouses. </t>
  </si>
  <si>
    <t>BUD-00703</t>
  </si>
  <si>
    <t>ROADMUNK INC</t>
  </si>
  <si>
    <t>Roadmunk Product Roadmap Software Place Holder</t>
  </si>
  <si>
    <t xml:space="preserve"> Roadmunk is a product management software provider that helps organizations create and share strategic roadmaps. Replace by  AirFocus</t>
  </si>
  <si>
    <t>BUD-00695</t>
  </si>
  <si>
    <t>BUD-00694</t>
  </si>
  <si>
    <t>POSSIBLENOW INC</t>
  </si>
  <si>
    <t>PossibleNow Maintenance - RAC - RND Query Subscription - 72,000,000 for 12 months</t>
  </si>
  <si>
    <t xml:space="preserve"> IT services and consulting company, provides customer consent, preference, and regulatory compliance solutions.</t>
  </si>
  <si>
    <t>BUD-00686</t>
  </si>
  <si>
    <t>PACIFIC OFFICE AUTOMATION</t>
  </si>
  <si>
    <t xml:space="preserve">Printing and Office Copier </t>
  </si>
  <si>
    <t>BUD-00683</t>
  </si>
  <si>
    <t>Oracle Database Software License Support</t>
  </si>
  <si>
    <t>Vendor Change - Oracle Support</t>
  </si>
  <si>
    <t>BUD-00681</t>
  </si>
  <si>
    <t>BUD-00676</t>
  </si>
  <si>
    <t>MIRO</t>
  </si>
  <si>
    <t xml:space="preserve">132220 - ACIMA PREPAID SUBSCRIPTIONS </t>
  </si>
  <si>
    <t>BUD-00646</t>
  </si>
  <si>
    <t>HIGH TOUCH - Service</t>
  </si>
  <si>
    <t>Tier 1 Call Center</t>
  </si>
  <si>
    <t>Mexico Direct</t>
  </si>
  <si>
    <t>Mexico</t>
  </si>
  <si>
    <t>BUD-00645</t>
  </si>
  <si>
    <t>Oziel</t>
  </si>
  <si>
    <t>HIGH TOUCH - MEXICO</t>
  </si>
  <si>
    <t>Server Licenses and Support</t>
  </si>
  <si>
    <t>BUD-00632</t>
  </si>
  <si>
    <t>HASHICORP INC</t>
  </si>
  <si>
    <t>HashiCorp Inc.</t>
  </si>
  <si>
    <t>BUD-00629</t>
  </si>
  <si>
    <t>GODADDY</t>
  </si>
  <si>
    <t>GODADDY domain registration</t>
  </si>
  <si>
    <t>Domain/Websites</t>
  </si>
  <si>
    <t>BUD-00599</t>
  </si>
  <si>
    <t>NIST CSF Assessment audit services</t>
  </si>
  <si>
    <t>BUD-00511</t>
  </si>
  <si>
    <t>CISCO SYSTEMS CAPITAL CORP</t>
  </si>
  <si>
    <t>Cisco Cohesity HW on Lease</t>
  </si>
  <si>
    <t>BUD-00503</t>
  </si>
  <si>
    <t>Salesforce - Messages</t>
  </si>
  <si>
    <t>BUD-00502</t>
  </si>
  <si>
    <t>IMAGEKIT.IO</t>
  </si>
  <si>
    <t>Jay Kothari</t>
  </si>
  <si>
    <t>IMAGEKIT</t>
  </si>
  <si>
    <t>Optimize, transform, manage and deliver images and video with one real-time API and an AI-powered Digital Asset Management platform.</t>
  </si>
  <si>
    <t>BUD-00497</t>
  </si>
  <si>
    <t>INFORMATICA LLC</t>
  </si>
  <si>
    <t>Informatica - Address Doctor</t>
  </si>
  <si>
    <t xml:space="preserve">An address verification and address validation solution that helps companies deliver their mail to the right recipient. </t>
  </si>
  <si>
    <t>BUD-00496</t>
  </si>
  <si>
    <t>Red Hat</t>
  </si>
  <si>
    <t>leading provider of enterprise open-source software solutions known for its hybrid cloud infrastructure, application services, cloud-native application development,</t>
  </si>
  <si>
    <t>BUD-00494</t>
  </si>
  <si>
    <t>RAC Initiative incremental 3rd Party Labor</t>
  </si>
  <si>
    <t>BUD-00491</t>
  </si>
  <si>
    <t>TBD - Initiative Non-Labor Opex</t>
  </si>
  <si>
    <t>Initiative Non-Labor Opex</t>
  </si>
  <si>
    <t>675080 - LICENSES FEES</t>
  </si>
  <si>
    <t>BUD-00487</t>
  </si>
  <si>
    <t>TWILIO INC</t>
  </si>
  <si>
    <t>TWILIO SMS Short Code and Programmable Messaging</t>
  </si>
  <si>
    <t>Twilio is a cloud communications platform that enables developers to integrate voice, messaging, video, and email functionalities into their applications using APIs.</t>
  </si>
  <si>
    <t>BUD-00486</t>
  </si>
  <si>
    <t>SLACK</t>
  </si>
  <si>
    <t>Slack</t>
  </si>
  <si>
    <t>Slack is a business communications platform</t>
  </si>
  <si>
    <t>BUD-00485</t>
  </si>
  <si>
    <t>SIDEKIQ</t>
  </si>
  <si>
    <t>Sidekiq</t>
  </si>
  <si>
    <t>Sidekiq is a popular open-source background processing library for Ruby applications, using Redis as its backend</t>
  </si>
  <si>
    <t>BUD-00483</t>
  </si>
  <si>
    <t>Postman</t>
  </si>
  <si>
    <t>BUD-00481</t>
  </si>
  <si>
    <t>NEXT VORTEX</t>
  </si>
  <si>
    <t>Next Vortex</t>
  </si>
  <si>
    <t>BUD-00480</t>
  </si>
  <si>
    <t>MX TOOLBOX</t>
  </si>
  <si>
    <t>MX ToolBox</t>
  </si>
  <si>
    <t>MXToolbox is a suite of online tools used to diagnose and monitor website and email server issues. It helps users identify and resolve problems related to DNS, SMTP, IP addresses, and more, ensuring reliable email deliverability and network health. MXToolbox also offers monitoring services to track blacklists, domain health, and other critical metric</t>
  </si>
  <si>
    <t>BUD-00479</t>
  </si>
  <si>
    <t>MTRCP</t>
  </si>
  <si>
    <t>BUD-00478</t>
  </si>
  <si>
    <t>MESSAGEBIRD</t>
  </si>
  <si>
    <t>BUD-00476</t>
  </si>
  <si>
    <t>JETBRAINS</t>
  </si>
  <si>
    <t>JetBrains</t>
  </si>
  <si>
    <t>JetBrains specialises in intelligent, productivity-enabling tools to help you write clean, quality code across . NET, Java, Ruby, Python, PHP, JavaScript, C# and C++ platforms throughout all stages of development.</t>
  </si>
  <si>
    <t>BUD-00475</t>
  </si>
  <si>
    <t>Google Cloud</t>
  </si>
  <si>
    <t>cloud computing services</t>
  </si>
  <si>
    <t>BUD-00474</t>
  </si>
  <si>
    <t>BUD-00473</t>
  </si>
  <si>
    <t>Gitbook</t>
  </si>
  <si>
    <t>Build product documentation</t>
  </si>
  <si>
    <t>BUD-00472</t>
  </si>
  <si>
    <t>FAXAGE</t>
  </si>
  <si>
    <t>Faxage</t>
  </si>
  <si>
    <t>Internet fax services, email fax, web fax and API faxing</t>
  </si>
  <si>
    <t>BUD-00471</t>
  </si>
  <si>
    <t>DEVREPS</t>
  </si>
  <si>
    <t>DevReps</t>
  </si>
  <si>
    <t>Acima Podcast - Editing, Transcription, Fireside Support</t>
  </si>
  <si>
    <t>BUD-00470</t>
  </si>
  <si>
    <t>Confluent Cloud</t>
  </si>
  <si>
    <t>BUD-00469</t>
  </si>
  <si>
    <t>Okta Auth0</t>
  </si>
  <si>
    <t>Auth0 are both leading identity and access management (IAM) platform. Auth0, specializes in customer identity and access management, offering tools for securing applications and APIs for external users.</t>
  </si>
  <si>
    <t>BUD-00468</t>
  </si>
  <si>
    <t>ATLASSIAN</t>
  </si>
  <si>
    <t>BUD-00467</t>
  </si>
  <si>
    <t>ADOBE</t>
  </si>
  <si>
    <t>Adobe</t>
  </si>
  <si>
    <t>creation and publication of a wide range of content, including graphics, photography, illustration, animation, multimedia/video, motion pictures, and print.</t>
  </si>
  <si>
    <t>BUD-00464</t>
  </si>
  <si>
    <t>BUD-00463</t>
  </si>
  <si>
    <t>BUD-00462</t>
  </si>
  <si>
    <t>VERIZON Data for Fleet Safety</t>
  </si>
  <si>
    <t>BUD-00461</t>
  </si>
  <si>
    <t>VERIZON</t>
  </si>
  <si>
    <t>VERIZON BUSINESS</t>
  </si>
  <si>
    <t>664020 - OP EXP COMM LONG DISTANCE</t>
  </si>
  <si>
    <t>BUD-00460</t>
  </si>
  <si>
    <t>BUD-00459</t>
  </si>
  <si>
    <t>BUD-00458</t>
  </si>
  <si>
    <t>BUD-00452</t>
  </si>
  <si>
    <t>664080 - OP EXP COMM LOCAL PHONE</t>
  </si>
  <si>
    <t>BUD-00451</t>
  </si>
  <si>
    <t>BUD-00450</t>
  </si>
  <si>
    <t>BUD-00448</t>
  </si>
  <si>
    <t>KALEYRA US INC</t>
  </si>
  <si>
    <t>Kalerya Communication Service</t>
  </si>
  <si>
    <t>BUD-00447</t>
  </si>
  <si>
    <t>CREXENDO</t>
  </si>
  <si>
    <t xml:space="preserve">CREXENDO </t>
  </si>
  <si>
    <t>cloud-based Unified Communications as a Service (UCaaS) and Call Center as a Service (CCaaS) solutions</t>
  </si>
  <si>
    <t>BUD-00442</t>
  </si>
  <si>
    <t>LUMEN</t>
  </si>
  <si>
    <t>Lumen - Draper Office ISP (new)</t>
  </si>
  <si>
    <t>Draper Office ISP (new)</t>
  </si>
  <si>
    <t>BUD-00441</t>
  </si>
  <si>
    <t>SYRINGA NETWORKS LLC</t>
  </si>
  <si>
    <t>Draper Office ISP</t>
  </si>
  <si>
    <t>BUD-00440</t>
  </si>
  <si>
    <t xml:space="preserve">OP EXP COMM OTHER | CYRUSONE </t>
  </si>
  <si>
    <t>BUD-00439</t>
  </si>
  <si>
    <t>BUD-00438</t>
  </si>
  <si>
    <t>BUD-00437</t>
  </si>
  <si>
    <t>AT&amp;T</t>
  </si>
  <si>
    <t>AT&amp;T (Main 834508022 Acct)</t>
  </si>
  <si>
    <t>Telecom</t>
  </si>
  <si>
    <t>BUD-00436</t>
  </si>
  <si>
    <t>BUD-00435</t>
  </si>
  <si>
    <t>ZAYO GROUP LLC</t>
  </si>
  <si>
    <t>ZAYO GROUP</t>
  </si>
  <si>
    <t>BUD-00434</t>
  </si>
  <si>
    <t>BIRCH</t>
  </si>
  <si>
    <t>BIRCH COMMUNICATIONS</t>
  </si>
  <si>
    <t>Internet access, voice service, cloud solutions and managed services.</t>
  </si>
  <si>
    <t>BUD-00433</t>
  </si>
  <si>
    <t>BUD-00432</t>
  </si>
  <si>
    <t>ADCOM</t>
  </si>
  <si>
    <t>ADCOM - WireLine</t>
  </si>
  <si>
    <t>wireline services-company specializing in managed IT services, including network management and telecom</t>
  </si>
  <si>
    <t>BUD-00431</t>
  </si>
  <si>
    <t>BUD-00430</t>
  </si>
  <si>
    <t>TMOBILE</t>
  </si>
  <si>
    <t>Tmobile</t>
  </si>
  <si>
    <t>Wireless Plans and phones</t>
  </si>
  <si>
    <t>BUD-00429</t>
  </si>
  <si>
    <t>INTELEPEER HOLDINGS INC</t>
  </si>
  <si>
    <t>INTELEPEER</t>
  </si>
  <si>
    <t>provides AI-powered automation solutions for contact centers and enterprise workers, including conversational and generative AI.</t>
  </si>
  <si>
    <t>BUD-00428</t>
  </si>
  <si>
    <t>Wireless Services</t>
  </si>
  <si>
    <t>BUD-00427</t>
  </si>
  <si>
    <t>Cisco VOIP - STORES</t>
  </si>
  <si>
    <t>Cisco's implementation of voice communication over an IP network.</t>
  </si>
  <si>
    <t>BUD-00426</t>
  </si>
  <si>
    <t>ATT DSR</t>
  </si>
  <si>
    <t>ISP consolidation in which ATT sends you a single bill bia dsr</t>
  </si>
  <si>
    <t>BUD-00425</t>
  </si>
  <si>
    <t>BUD-00424</t>
  </si>
  <si>
    <t>KORE</t>
  </si>
  <si>
    <t xml:space="preserve">KORE delivers seamless connectivity, device management, and data solutions so you can launch, scale, and optimize IoT </t>
  </si>
  <si>
    <t>BUD-00423</t>
  </si>
  <si>
    <t>ADCOM - Wireless</t>
  </si>
  <si>
    <t>wireless services-company specializing in managed IT services, including network management and telecom</t>
  </si>
  <si>
    <t>BUD-00409</t>
  </si>
  <si>
    <t xml:space="preserve">GOOGLE MARKETPLACE </t>
  </si>
  <si>
    <t>QUANTUM METRICS</t>
  </si>
  <si>
    <t>Rollbar provides real-time error tracking &amp; debugging tools for developers</t>
  </si>
  <si>
    <t>BUD-00395</t>
  </si>
  <si>
    <t>LOGZ.IO</t>
  </si>
  <si>
    <t>Logz.io</t>
  </si>
  <si>
    <t>Logz.io delivers unified, full stack observability and security as a fully-managed SaaS based on best-of-breed open source. The Open 360 platform brings together logs, metrics, traces, and security data, applying powerful AI/ML features to improve troubleshooting, reduce response times, and help manage costs.</t>
  </si>
  <si>
    <t>BUD-00393</t>
  </si>
  <si>
    <t>BRIDGEPOINTE TECHNOLOGIES LLC</t>
  </si>
  <si>
    <t>BRIDGEPOINTE (REALCOM) Voice &amp; Data Optimization</t>
  </si>
  <si>
    <t>streamline tech and telecom solutions</t>
  </si>
  <si>
    <t>BUD-00392</t>
  </si>
  <si>
    <t>ENTUC</t>
  </si>
  <si>
    <t>BUD-00391</t>
  </si>
  <si>
    <t>3PILLAR GLOBAL INC</t>
  </si>
  <si>
    <t>3PILLAR</t>
  </si>
  <si>
    <t>3Pillar is a modern application strategy, design &amp; engineering firm - DevOps</t>
  </si>
  <si>
    <t>BUD-00390</t>
  </si>
  <si>
    <t>Cisco VOIP - FSC</t>
  </si>
  <si>
    <t>Voip services</t>
  </si>
  <si>
    <t>BUD-00384</t>
  </si>
  <si>
    <t>RACPAD - DevOps</t>
  </si>
  <si>
    <t>Consulting services RACPad-DevOps</t>
  </si>
  <si>
    <t>BUD-00382</t>
  </si>
  <si>
    <t>Hardware / Parts / Supplies</t>
  </si>
  <si>
    <t>BUD-00376</t>
  </si>
  <si>
    <t xml:space="preserve">OCCUPANCY REAL ESTATE RENT | CYRUSONE </t>
  </si>
  <si>
    <t>BUD-00375</t>
  </si>
  <si>
    <t>Iron Mountain</t>
  </si>
  <si>
    <t>A global data center company that specializes in information management, digital transformation, and data center solutions. </t>
  </si>
  <si>
    <t>BUD-00374</t>
  </si>
  <si>
    <t>Insight - Managed Compute Services</t>
  </si>
  <si>
    <t>Managed Compute Services</t>
  </si>
  <si>
    <t>BUD-00370</t>
  </si>
  <si>
    <t>Infosys</t>
  </si>
  <si>
    <t>BUD-00369</t>
  </si>
  <si>
    <t>FIVE9, INC</t>
  </si>
  <si>
    <t>Five9</t>
  </si>
  <si>
    <t>BUD-00368</t>
  </si>
  <si>
    <t>SUTHERLAND GLOBAL SERVICES</t>
  </si>
  <si>
    <t>Sutherland Call Center / Support</t>
  </si>
  <si>
    <t>Call Center / Support</t>
  </si>
  <si>
    <t>BUD-00367</t>
  </si>
  <si>
    <t>INNERWORKINGS INC</t>
  </si>
  <si>
    <t>INNERWORKINGS</t>
  </si>
  <si>
    <t>BUD-00363</t>
  </si>
  <si>
    <t>TCS App Suppt</t>
  </si>
  <si>
    <t>BUD-00362</t>
  </si>
  <si>
    <t>BUSINESS INFORMATION SYSTEMS</t>
  </si>
  <si>
    <t>Clearsky</t>
  </si>
  <si>
    <t>provides cyber solutions, threat detection, and tailored cyber defense strategies, including prevention, detection, and mitigation.</t>
  </si>
  <si>
    <t>BUD-00354</t>
  </si>
  <si>
    <t>TCS Data Services Support</t>
  </si>
  <si>
    <t>BUD-00352</t>
  </si>
  <si>
    <t>Jira &amp; Confluence</t>
  </si>
  <si>
    <t>BUD-00351</t>
  </si>
  <si>
    <t>Zscaler</t>
  </si>
  <si>
    <t>cloud-based cybersecurity company that offers a suite of security services built around the concept of zero trust</t>
  </si>
  <si>
    <t>BUD-00350</t>
  </si>
  <si>
    <t>Zoho - AD Audit</t>
  </si>
  <si>
    <t>AD Audit</t>
  </si>
  <si>
    <t>BUD-00349</t>
  </si>
  <si>
    <t>INVICTI SECURITY CORP A/K/A ACUNETIX</t>
  </si>
  <si>
    <t>Invicti</t>
  </si>
  <si>
    <t>Online web application security scanner</t>
  </si>
  <si>
    <t>BUD-00348</t>
  </si>
  <si>
    <t>OT TECHNOLOGY INC</t>
  </si>
  <si>
    <t>OneTrust Enterprise Risk Management</t>
  </si>
  <si>
    <t xml:space="preserve">software platforms designed to help organizations manage data privacy, security, and governance. </t>
  </si>
  <si>
    <t>BUD-00346</t>
  </si>
  <si>
    <t>Okta Internal IAM</t>
  </si>
  <si>
    <t>Auth0 are both leading identity and access management (IAM) platform.</t>
  </si>
  <si>
    <t>BUD-00345</t>
  </si>
  <si>
    <t>Securiti Platform (Structured Data Discovery)</t>
  </si>
  <si>
    <t>BUD-00344</t>
  </si>
  <si>
    <t>Palo Alto Xpanse (Expander Platform)</t>
  </si>
  <si>
    <t>Palo Alto External Attack Surface Monitoring (EASM)</t>
  </si>
  <si>
    <t>External Attack Surface Monitoring (EASM)</t>
  </si>
  <si>
    <t>BUD-00343</t>
  </si>
  <si>
    <t>Firemon</t>
  </si>
  <si>
    <t>FireMon is a security policy management company. They provide solutions to manage and automate firewall and security policies across complex, hybrid IT environments.</t>
  </si>
  <si>
    <t>BUD-00342</t>
  </si>
  <si>
    <t>Insights Threat Command</t>
  </si>
  <si>
    <t>BUD-00341</t>
  </si>
  <si>
    <t>Living Security</t>
  </si>
  <si>
    <t>BUD-00340</t>
  </si>
  <si>
    <t>Orca</t>
  </si>
  <si>
    <t>A cloud security platform</t>
  </si>
  <si>
    <t>BUD-00339</t>
  </si>
  <si>
    <t>Akamai</t>
  </si>
  <si>
    <t>Provides cloud computing, cybersecurity, and content delivery network (CDN) services</t>
  </si>
  <si>
    <t>BUD-00338</t>
  </si>
  <si>
    <t>Google Office (Contingency)</t>
  </si>
  <si>
    <t>BUD-00337</t>
  </si>
  <si>
    <t>GITLAB INC</t>
  </si>
  <si>
    <t>Gitlab Ultimate Security</t>
  </si>
  <si>
    <t>BUD-00336</t>
  </si>
  <si>
    <t>GITHUB INC</t>
  </si>
  <si>
    <t>Github CoPilot</t>
  </si>
  <si>
    <t>Allows you to create, store, change, merge, and collaborate on files or code</t>
  </si>
  <si>
    <t>BUD-00335</t>
  </si>
  <si>
    <t>Github</t>
  </si>
  <si>
    <t>BUD-00334</t>
  </si>
  <si>
    <t>Acima Security Tooling*</t>
  </si>
  <si>
    <t>BUD-00333</t>
  </si>
  <si>
    <t>BOX INC</t>
  </si>
  <si>
    <t>Box</t>
  </si>
  <si>
    <t>BUD-00332</t>
  </si>
  <si>
    <t>BITSIGHT TECHNOLOGIES INC</t>
  </si>
  <si>
    <t>Bitsight</t>
  </si>
  <si>
    <t>BUD-00331</t>
  </si>
  <si>
    <t>BUD-00330</t>
  </si>
  <si>
    <t>Ipswitch WS FTP Pro license</t>
  </si>
  <si>
    <t>a highly secure, fully featured and easy-to-administer file transfer server for Microsoft Windows® systems</t>
  </si>
  <si>
    <t>BUD-00329</t>
  </si>
  <si>
    <t>Tableau</t>
  </si>
  <si>
    <t>Used for data visualization and business intelligence, allowing users to connect to various data sources, analyze data, and create interactive dashboards and reports.</t>
  </si>
  <si>
    <t>BUD-00328</t>
  </si>
  <si>
    <t>Infoburst</t>
  </si>
  <si>
    <t>BUD-00327</t>
  </si>
  <si>
    <t>TM1</t>
  </si>
  <si>
    <t>BUD-00326</t>
  </si>
  <si>
    <t>Cognos and TM1</t>
  </si>
  <si>
    <t>business intelligence (BI) and performance management tools</t>
  </si>
  <si>
    <t>BUD-00325</t>
  </si>
  <si>
    <t>Bomgar</t>
  </si>
  <si>
    <t>BeyondTrust Remote Support-software that allows IT and support professionals to remotely access and control various devices</t>
  </si>
  <si>
    <t>BUD-00324</t>
  </si>
  <si>
    <t>SAGE SOFTWARE, INC</t>
  </si>
  <si>
    <t>Sage</t>
  </si>
  <si>
    <t>a suite of business management solutions, including accounting, payroll, and HR software</t>
  </si>
  <si>
    <t>BUD-00323</t>
  </si>
  <si>
    <t>INFOSOL INC</t>
  </si>
  <si>
    <t>BUD-00322</t>
  </si>
  <si>
    <t>Sharayu Patil</t>
  </si>
  <si>
    <t>BUD-00321</t>
  </si>
  <si>
    <t>INFOR</t>
  </si>
  <si>
    <t>Lawson Support</t>
  </si>
  <si>
    <t>Support Services</t>
  </si>
  <si>
    <t>BUD-00320</t>
  </si>
  <si>
    <t>DIGICERT INC</t>
  </si>
  <si>
    <t>DIGICERT</t>
  </si>
  <si>
    <t>TLS/SSL Certificate Authority specializing in digit trust solutions through DigiCert</t>
  </si>
  <si>
    <t>BUD-00319</t>
  </si>
  <si>
    <t>ROBERT MARK ( was CA INC)</t>
  </si>
  <si>
    <t>CAWA</t>
  </si>
  <si>
    <t>Formally known as Cybermation. CA Work load automation. Distributed job scheduling and workload management solution used for automating tasks and integrating applications across various platforms</t>
  </si>
  <si>
    <t>BUD-00318</t>
  </si>
  <si>
    <t>BUSINESS IMAGING SYSTEMS</t>
  </si>
  <si>
    <t>Application Xtender</t>
  </si>
  <si>
    <t>Enables users to query, create, index, and annotate electronic documents in a variety of formats for subsequent retrieval</t>
  </si>
  <si>
    <t>BUD-00317</t>
  </si>
  <si>
    <t>TRINTECH INC</t>
  </si>
  <si>
    <t>ReconNet</t>
  </si>
  <si>
    <t>A financial reconciliation software</t>
  </si>
  <si>
    <t>BUD-00316</t>
  </si>
  <si>
    <t>Oracle PaaS and SaaS</t>
  </si>
  <si>
    <t>Oracle Platform as a service and SaaS as a service</t>
  </si>
  <si>
    <t>BUD-00315</t>
  </si>
  <si>
    <t>WRIKE INC</t>
  </si>
  <si>
    <t>Doug Peters</t>
  </si>
  <si>
    <t>WRIKE</t>
  </si>
  <si>
    <t>Used to streamline proofing and reporting</t>
  </si>
  <si>
    <t>BUD-00314</t>
  </si>
  <si>
    <t>WORKIVA INC</t>
  </si>
  <si>
    <t>Eric Stout</t>
  </si>
  <si>
    <t>Workiva Accounting Service</t>
  </si>
  <si>
    <t>SaaS company -provides reporting compliance platform across finance, accounting,  risk and compliance</t>
  </si>
  <si>
    <t>BUD-00313</t>
  </si>
  <si>
    <t>WOLTERS KLUWER FINANCIAL SVCS</t>
  </si>
  <si>
    <t>Curtis Betts</t>
  </si>
  <si>
    <t>Teammate</t>
  </si>
  <si>
    <t>tax professionals and business</t>
  </si>
  <si>
    <t>BUD-00312</t>
  </si>
  <si>
    <t>WOLTERS KLUWER LEGAL</t>
  </si>
  <si>
    <t>Toni LeBlanc</t>
  </si>
  <si>
    <t>Tax Rate Database</t>
  </si>
  <si>
    <t>tax and accounting software</t>
  </si>
  <si>
    <t>BUD-00311</t>
  </si>
  <si>
    <t>THOMSON REUTERS</t>
  </si>
  <si>
    <t>One Source</t>
  </si>
  <si>
    <t>BUD-00310</t>
  </si>
  <si>
    <t>SYNERGOS TECHNOLOGIES INC</t>
  </si>
  <si>
    <t>Jim King</t>
  </si>
  <si>
    <t>PopStats</t>
  </si>
  <si>
    <t>demographic data service that provides quarterly population estimates, offering insights into population changes, growth trends, and consumer behavior</t>
  </si>
  <si>
    <t>BUD-00309</t>
  </si>
  <si>
    <t>Autodesk</t>
  </si>
  <si>
    <t>software for architects, builders, engineers, designers, manufacturers, 3D artists and production teams</t>
  </si>
  <si>
    <t>BUD-00308</t>
  </si>
  <si>
    <t>Katie Hahn</t>
  </si>
  <si>
    <t>AutoCAD</t>
  </si>
  <si>
    <t>2D and 3D computer-aided design (CAD) software application</t>
  </si>
  <si>
    <t>BUD-00307</t>
  </si>
  <si>
    <t>Knox</t>
  </si>
  <si>
    <t>a security and management platform for mobile devices</t>
  </si>
  <si>
    <t>BUD-00306</t>
  </si>
  <si>
    <t>Oracle Fusion</t>
  </si>
  <si>
    <t>a suite of cloud-based business applications designed to help organizations streamline operations and improve decision-making</t>
  </si>
  <si>
    <t>BUD-00305</t>
  </si>
  <si>
    <t>MHC SOFTWARE INC</t>
  </si>
  <si>
    <t>MHC Disaster Recovery</t>
  </si>
  <si>
    <t>BUD-00304</t>
  </si>
  <si>
    <t>BUD-00303</t>
  </si>
  <si>
    <t>LITMUS SOFTWARE INC</t>
  </si>
  <si>
    <t>Litmus Software</t>
  </si>
  <si>
    <t>BUD-00302</t>
  </si>
  <si>
    <t>FINANCIAL SOFTWARE INNOVATIONS</t>
  </si>
  <si>
    <t>FSI Track  Unclaimed Property Software</t>
  </si>
  <si>
    <t>an unclaimed property management system which allows companies to comprehensively track, organize and report their unclaimed property as mandated by state requirements.</t>
  </si>
  <si>
    <t>BUD-00301</t>
  </si>
  <si>
    <t>COUPA SOFTWARE INC</t>
  </si>
  <si>
    <t>Coupa</t>
  </si>
  <si>
    <t>managing procurement, invoicing, expenses, and payments</t>
  </si>
  <si>
    <t>BUD-00300a</t>
  </si>
  <si>
    <t>COSTAR REALTY INFORMATION INC</t>
  </si>
  <si>
    <t>Commercial Real Estate Analytics</t>
  </si>
  <si>
    <t>A source of commercial real estate information, analytics, and online marketplaces</t>
  </si>
  <si>
    <t>BUD-00300</t>
  </si>
  <si>
    <t>MOODY'S ANALYTICS</t>
  </si>
  <si>
    <t>BUD-00299</t>
  </si>
  <si>
    <t>AVALARA INC</t>
  </si>
  <si>
    <t>Erin Riser</t>
  </si>
  <si>
    <t>Transaction Tax Resources</t>
  </si>
  <si>
    <t>BUD-00298</t>
  </si>
  <si>
    <t>ARTICULATE GLOBAL LLC</t>
  </si>
  <si>
    <t>Articulate 360 Teams</t>
  </si>
  <si>
    <t> Is a subscription plan that provides a suite of e-learning tools and resources for teams, including shared team libraries, collaborative authoring, and centralized administration. </t>
  </si>
  <si>
    <t>BUD-00297</t>
  </si>
  <si>
    <t>ALTERYX</t>
  </si>
  <si>
    <t>Alteryx</t>
  </si>
  <si>
    <t>analytic process automation- automate data analysis, data science, and process automation tasks</t>
  </si>
  <si>
    <t>BUD-00296</t>
  </si>
  <si>
    <t>ADSWERVE INC</t>
  </si>
  <si>
    <t>Adswerve Platform Fees</t>
  </si>
  <si>
    <t>BUD-00295</t>
  </si>
  <si>
    <t>ACCRUENT LLC</t>
  </si>
  <si>
    <t>John Tschirhart</t>
  </si>
  <si>
    <t>LX Equipment Contracts</t>
  </si>
  <si>
    <t>BUD-00294</t>
  </si>
  <si>
    <t>LX Contracts</t>
  </si>
  <si>
    <t>Document Management</t>
  </si>
  <si>
    <t>BUD-00293</t>
  </si>
  <si>
    <t>SPLUNK INC</t>
  </si>
  <si>
    <t>Splunk/Grafana On-Call</t>
  </si>
  <si>
    <t>platform that enables users to search, analyze, and visualize machine-generated data from various sources</t>
  </si>
  <si>
    <t>BUD-00292</t>
  </si>
  <si>
    <t>SOLARWINDS</t>
  </si>
  <si>
    <t>Solarwinds</t>
  </si>
  <si>
    <t>monitors and observes solutions for networks, applications, and infrastructure.</t>
  </si>
  <si>
    <t>BUD-00291</t>
  </si>
  <si>
    <t>BUD-00290</t>
  </si>
  <si>
    <t>Smartbear - API Automation</t>
  </si>
  <si>
    <t>API automation refers to the process of connecting different web applications and systems to enable seamless and automated workflows through the use of Application Programming Interfaces (APIs). This allows for the automatic exchange of data and functionality between systems without manual intervention.</t>
  </si>
  <si>
    <t>BUD-00289</t>
  </si>
  <si>
    <t>Oracle HW support</t>
  </si>
  <si>
    <t>HW support</t>
  </si>
  <si>
    <t>BUD-00288</t>
  </si>
  <si>
    <t>Linux</t>
  </si>
  <si>
    <t>open-source Unix-like operating systems</t>
  </si>
  <si>
    <t>BUD-00287</t>
  </si>
  <si>
    <t>Oracle ACS Advanced Resolution</t>
  </si>
  <si>
    <t>BUD-00286</t>
  </si>
  <si>
    <t>Microsoft SQL</t>
  </si>
  <si>
    <t>programming language</t>
  </si>
  <si>
    <t>BUD-00285</t>
  </si>
  <si>
    <t>Microsoft Support</t>
  </si>
  <si>
    <t>MS Support</t>
  </si>
  <si>
    <t>BUD-00284</t>
  </si>
  <si>
    <t>BUD-00283</t>
  </si>
  <si>
    <t>LIQUIBASE INC</t>
  </si>
  <si>
    <t>Liquidbase</t>
  </si>
  <si>
    <t>open-source database DevOps tool used for tracking, versioning, and deploying database schema changes</t>
  </si>
  <si>
    <t>BUD-00282</t>
  </si>
  <si>
    <t>HPE NS Hardware and Software Support</t>
  </si>
  <si>
    <t>BUD-00281</t>
  </si>
  <si>
    <t>Microfocus</t>
  </si>
  <si>
    <t>BUD-00280</t>
  </si>
  <si>
    <t>Semperis</t>
  </si>
  <si>
    <t>BUD-00279</t>
  </si>
  <si>
    <t>Cisco One Call</t>
  </si>
  <si>
    <t>BUD-00278</t>
  </si>
  <si>
    <t>Cisco Nexus</t>
  </si>
  <si>
    <t>Network switches</t>
  </si>
  <si>
    <t>BUD-00277</t>
  </si>
  <si>
    <t>InfoBlox - Trinzic</t>
  </si>
  <si>
    <t>Hardware devices that form the foundation of an organization's network services and reporting solutions. </t>
  </si>
  <si>
    <t>BUD-00276</t>
  </si>
  <si>
    <t>Terraform Cloud</t>
  </si>
  <si>
    <t>BUD-00275</t>
  </si>
  <si>
    <t>GitLab</t>
  </si>
  <si>
    <t> Integrated DevOps platform with features like built-in CI/CD, container registry, and project management tools. </t>
  </si>
  <si>
    <t>BUD-00274</t>
  </si>
  <si>
    <t>CLOUDBEES INC</t>
  </si>
  <si>
    <t>Cloudbees</t>
  </si>
  <si>
    <t>A software delivery platform focused on continuous integration (CI) and continuous delivery (CD)</t>
  </si>
  <si>
    <t>BUD-00273</t>
  </si>
  <si>
    <t>BIGPANDA INC</t>
  </si>
  <si>
    <t>Big Panda</t>
  </si>
  <si>
    <t>SW company that focuses on IT operations management. Platform for event correltion and automation using AIOps</t>
  </si>
  <si>
    <t>BUD-00272</t>
  </si>
  <si>
    <t>101 DOMAIN.COM</t>
  </si>
  <si>
    <t>Domain Registration 7/24/23 - 7/24/2026</t>
  </si>
  <si>
    <t>BUD-00271</t>
  </si>
  <si>
    <t>Cohesity Platform</t>
  </si>
  <si>
    <t>Data security and management platform used to protect, manage, and gain insights from data across various environments, including on-premises, cloud, and hybrid setups.</t>
  </si>
  <si>
    <t>BUD-00270</t>
  </si>
  <si>
    <t>LUCID SOFTWARE INC</t>
  </si>
  <si>
    <t>Lucid Suite</t>
  </si>
  <si>
    <t>visual collaboration platform</t>
  </si>
  <si>
    <t>BUD-00269</t>
  </si>
  <si>
    <t>ServiceNow</t>
  </si>
  <si>
    <t>workflow automation platform that helps businesses digitize and streamline their operations.</t>
  </si>
  <si>
    <t>BUD-00266</t>
  </si>
  <si>
    <t>AUTOMATION ANYWHERE INC</t>
  </si>
  <si>
    <t>AUTOMATION ANYWHERE</t>
  </si>
  <si>
    <t>software bots that enable industries to automate their repetitive business processes</t>
  </si>
  <si>
    <t>BUD-00265</t>
  </si>
  <si>
    <t>Cisco Webex Room Kit Mini/Power Supply</t>
  </si>
  <si>
    <t>BUD-00264</t>
  </si>
  <si>
    <t>QUEST SOFTWARE INC.</t>
  </si>
  <si>
    <t>TOAD</t>
  </si>
  <si>
    <t>database management toolset</t>
  </si>
  <si>
    <t>BUD-00263</t>
  </si>
  <si>
    <t>Erwin Data Modler</t>
  </si>
  <si>
    <t>BUD-00262</t>
  </si>
  <si>
    <t>SAS INSTITUTE INC</t>
  </si>
  <si>
    <t>SAS INSTITUTE</t>
  </si>
  <si>
    <t>developer of analytics and artificial intelligence software</t>
  </si>
  <si>
    <t>BUD-00261</t>
  </si>
  <si>
    <t>SNOWFLAKE</t>
  </si>
  <si>
    <t>Snowflake is a cloud-based data platform that helps businesses store, manage, and analyze large amounts of data.</t>
  </si>
  <si>
    <t>BUD-00260</t>
  </si>
  <si>
    <t>INFORMATICA IICS</t>
  </si>
  <si>
    <t>Informatica Intelligent Cloud Services (IICS) is a cloud-native, AI-powered platform for end-to-end data management, offering data integration, application integration, and API management capabilities</t>
  </si>
  <si>
    <t>BUD-00259</t>
  </si>
  <si>
    <t>DATABRICKS</t>
  </si>
  <si>
    <t>Databricks is a unified, open analytics platform that provides a suite of tools for building, deploying, sharing, and maintaining data, analytics, and AI solutions at scale. Databricks is built for advanced analytics, machine learning, and data science</t>
  </si>
  <si>
    <t>BUD-00258</t>
  </si>
  <si>
    <t>WORLD 50 INC</t>
  </si>
  <si>
    <t>Information Subscription</t>
  </si>
  <si>
    <t>facilitate collaboration, conversation, and counsel on the topics most crucial to leading, transforming and growing modern enterprises</t>
  </si>
  <si>
    <t>BUD-00257</t>
  </si>
  <si>
    <t>GARTNER INC.</t>
  </si>
  <si>
    <t>research and advisory company</t>
  </si>
  <si>
    <t>BUD-00256</t>
  </si>
  <si>
    <t>LEANIX INC</t>
  </si>
  <si>
    <t>LEANIX</t>
  </si>
  <si>
    <t>BUD-00255</t>
  </si>
  <si>
    <t>Clean Earth</t>
  </si>
  <si>
    <t>Clean Earth Asset Disposal</t>
  </si>
  <si>
    <t>managing the recycling and disposal of all your hazardous and non-hazardous</t>
  </si>
  <si>
    <t>BUD-00253</t>
  </si>
  <si>
    <t>Undefined</t>
  </si>
  <si>
    <t>676070 - OP EXP OTHER REPAIRS MAINT</t>
  </si>
  <si>
    <t>BUD-00247</t>
  </si>
  <si>
    <t>THE STEWART ORGANIZATION</t>
  </si>
  <si>
    <t>FSC Copier Maintenance</t>
  </si>
  <si>
    <t>675090 - EQUIP LEASE RENTAL</t>
  </si>
  <si>
    <t>BUD-00246</t>
  </si>
  <si>
    <t>Cisco WebEx Fees</t>
  </si>
  <si>
    <t>Provides communication - meetings, calling, messaging, webinars, events,</t>
  </si>
  <si>
    <t>BUD-00244</t>
  </si>
  <si>
    <t>SELECT TECHNOLOGY</t>
  </si>
  <si>
    <t>a technology consulting and solutions provider</t>
  </si>
  <si>
    <t>BUD-00243</t>
  </si>
  <si>
    <t>TAILWIND</t>
  </si>
  <si>
    <t>BUD-00233</t>
  </si>
  <si>
    <t>CIGNITI</t>
  </si>
  <si>
    <t>Compliance Checkers</t>
  </si>
  <si>
    <t>Compliance consulting services - cybersecurity, cloud security and DevOps</t>
  </si>
  <si>
    <t>BUD-00231</t>
  </si>
  <si>
    <t>TCAs Technical PM overseeing Security and End point management tools over to Microsoft</t>
  </si>
  <si>
    <t>Projject Management</t>
  </si>
  <si>
    <t>BUD-00230</t>
  </si>
  <si>
    <t>Avasoft - Identity Access Management/Compliance Support services</t>
  </si>
  <si>
    <t>Identity Access Management/Compliance Support services</t>
  </si>
  <si>
    <t>BUD-00227</t>
  </si>
  <si>
    <t>PM for Microsoft Security Tool Migration</t>
  </si>
  <si>
    <t>BUD-00226</t>
  </si>
  <si>
    <t>Booz Allen / GT - NIST CSF Assessments</t>
  </si>
  <si>
    <t>NIST Vendor</t>
  </si>
  <si>
    <t>BUD-00224</t>
  </si>
  <si>
    <t>S3 Acima annual pen test</t>
  </si>
  <si>
    <t>Acima Pen Test - Prof services</t>
  </si>
  <si>
    <t>BUD-00223</t>
  </si>
  <si>
    <t>S3 Qualified Security Assessor</t>
  </si>
  <si>
    <t>BUD-00221</t>
  </si>
  <si>
    <t>Palo Alto VM series Firwalls</t>
  </si>
  <si>
    <t>Virtual firewalls (is this software or hardware? )</t>
  </si>
  <si>
    <t>BUD-00220</t>
  </si>
  <si>
    <t>S3 PCI Audit &amp; Compliance Services</t>
  </si>
  <si>
    <t>BUD-00218</t>
  </si>
  <si>
    <t>BUD-00202</t>
  </si>
  <si>
    <t>Cigniti Offshore |RACPAD Support</t>
  </si>
  <si>
    <t>Offshore |RACPAD Support</t>
  </si>
  <si>
    <t>BUD-00199</t>
  </si>
  <si>
    <t>Cigniti QA</t>
  </si>
  <si>
    <t>BUD-00197</t>
  </si>
  <si>
    <t>Cigniti RPA development</t>
  </si>
  <si>
    <t>Robotic Process Automation - consulting services</t>
  </si>
  <si>
    <t>BUD-00188</t>
  </si>
  <si>
    <t>FRAGOMEN DEL REY BERNSEN</t>
  </si>
  <si>
    <t>Visa/Employment Services</t>
  </si>
  <si>
    <t>BUD-00176</t>
  </si>
  <si>
    <t>Salesforce Support</t>
  </si>
  <si>
    <t>BUD-00175</t>
  </si>
  <si>
    <t>ROYAL CYBER INC</t>
  </si>
  <si>
    <t>Royal Cyber eCommerce Support</t>
  </si>
  <si>
    <t>eCommerce Support</t>
  </si>
  <si>
    <t>BUD-00174</t>
  </si>
  <si>
    <t>TCPA</t>
  </si>
  <si>
    <t>BUD-00145</t>
  </si>
  <si>
    <t>RACPAD Support</t>
  </si>
  <si>
    <t>BUD-00144</t>
  </si>
  <si>
    <t>VAN Support</t>
  </si>
  <si>
    <t>BUD-00142</t>
  </si>
  <si>
    <t>Jim V</t>
  </si>
  <si>
    <t>HIGH TOUCH - Support [INV 'RAC CORPORATE']</t>
  </si>
  <si>
    <t>BUD-00138</t>
  </si>
  <si>
    <t>App Support Corporate Systems - Racinet</t>
  </si>
  <si>
    <t>BUD-00137</t>
  </si>
  <si>
    <t>ACCENTURE LLP</t>
  </si>
  <si>
    <t>Accenture Oracle Fusion Support - Monthly</t>
  </si>
  <si>
    <t>Support for Oracle Fusion</t>
  </si>
  <si>
    <t>BUD-00131</t>
  </si>
  <si>
    <t>Data Services Support - RACDB &amp; Enterprise</t>
  </si>
  <si>
    <t>BUD-00124</t>
  </si>
  <si>
    <t>TCS - Run the Business</t>
  </si>
  <si>
    <t>Run the Business</t>
  </si>
  <si>
    <t>BUD-00123</t>
  </si>
  <si>
    <t>BUD-00121</t>
  </si>
  <si>
    <t>COGNIZANT</t>
  </si>
  <si>
    <t>COGNIZANT Support</t>
  </si>
  <si>
    <t xml:space="preserve">Services </t>
  </si>
  <si>
    <t>BUD-00120</t>
  </si>
  <si>
    <t>ASSET MANAGEMENT &amp; DISPOSAL</t>
  </si>
  <si>
    <t>Service - Pickup and Transportation Providing General Liability Insurance</t>
  </si>
  <si>
    <t>BUD-00114</t>
  </si>
  <si>
    <t>Agile Coach</t>
  </si>
  <si>
    <t>BUD-00113</t>
  </si>
  <si>
    <t>BUD-00112</t>
  </si>
  <si>
    <t>TWILIO SendGrid email package; usage based</t>
  </si>
  <si>
    <t>SendGrid is a cloud-based email platform that provides services for sending transactional and marketing emails.</t>
  </si>
  <si>
    <t>BUD-00111</t>
  </si>
  <si>
    <t>SCANDIT INC</t>
  </si>
  <si>
    <t>SCANDIT</t>
  </si>
  <si>
    <t>provides software that enables mobile devices to capture and process various types of data, including barcodes, text, and IDs, using computer vision and augmented reality (AR)</t>
  </si>
  <si>
    <t>BUD-00110</t>
  </si>
  <si>
    <t>OPEN TEXT INC</t>
  </si>
  <si>
    <t>OPEN TEXT</t>
  </si>
  <si>
    <t>BUD-00109</t>
  </si>
  <si>
    <t>BUD-00108</t>
  </si>
  <si>
    <t>MESSAGE SYSTEM INC</t>
  </si>
  <si>
    <t>Sparkpost</t>
  </si>
  <si>
    <t>an email delivery platform designed for sending large volumes of transactional and marketing emails reliably</t>
  </si>
  <si>
    <t>BUD-00107</t>
  </si>
  <si>
    <t>HYPERSITES INTERNATIONAL LLC</t>
  </si>
  <si>
    <t>Hypersites - Epay.rentacenter.com - ANOW</t>
  </si>
  <si>
    <t>epay portal for rentacenter</t>
  </si>
  <si>
    <t>BUD-00106</t>
  </si>
  <si>
    <t>HIGH TOUCH - Development, Prof. Services</t>
  </si>
  <si>
    <t>BUD-00105</t>
  </si>
  <si>
    <t>HIGH TOUCH - GIN/HC [INV 'RSSS 12.5 AGREEMENT']</t>
  </si>
  <si>
    <t xml:space="preserve">Hightouch syncs data from your warehouse to 100+ tools for sales, marketing, CS &amp; more. </t>
  </si>
  <si>
    <t>BUD-00104</t>
  </si>
  <si>
    <t>Lee Le</t>
  </si>
  <si>
    <t>HIGH TOUCH - Development [INV 'RAC CORPORATE']</t>
  </si>
  <si>
    <t>BUD-00103</t>
  </si>
  <si>
    <t>HIGH TOUCH - Prof. Service &amp; ePay [INV 'RAC-US PROF/SIMS']</t>
  </si>
  <si>
    <t>BUD-00102</t>
  </si>
  <si>
    <t>Provides Public Key Infrastructure (PKI) and machine identity management solutions to help organizations establish and maintain digital trust.</t>
  </si>
  <si>
    <t>BUD-00101</t>
  </si>
  <si>
    <t>INTRAEDGE INC</t>
  </si>
  <si>
    <t>Truyo</t>
  </si>
  <si>
    <t>BUD-00100</t>
  </si>
  <si>
    <t>Truyo - Security Cookie Consent Management</t>
  </si>
  <si>
    <t>A platform designed to help organizations manage data privacy and AI governance compliance</t>
  </si>
  <si>
    <t>BUD-00099</t>
  </si>
  <si>
    <t>Cisco Umbrella reserved IPs</t>
  </si>
  <si>
    <t>Reserved IP maps to a unique source IP address for your organization's web traffic and is not shared with any other Secure Access instance.</t>
  </si>
  <si>
    <t>BUD-00098</t>
  </si>
  <si>
    <t>Cisco Security Choice</t>
  </si>
  <si>
    <t>BUD-00097</t>
  </si>
  <si>
    <t>Sentinel One</t>
  </si>
  <si>
    <t>Primarily used as an AI-powered cybersecurity platform that offers endpoint protection, detection, and response capabilities.</t>
  </si>
  <si>
    <t>BUD-00096</t>
  </si>
  <si>
    <t>Rapid 7 &amp; Insight VM</t>
  </si>
  <si>
    <t>a vulnerability management solution that helps organizations identify, prioritize, and remediate vulnerabilities within their IT environments</t>
  </si>
  <si>
    <t>BUD-00095</t>
  </si>
  <si>
    <t>EA agreement</t>
  </si>
  <si>
    <t>BUD-00094</t>
  </si>
  <si>
    <t>FLEXPRINT</t>
  </si>
  <si>
    <t>FLEXPRINT [a]</t>
  </si>
  <si>
    <t xml:space="preserve">A method of printing where a design is cut from a special film, weeded (excess material removed), and then heat-transferred onto a substrate like fabric or other materials. </t>
  </si>
  <si>
    <t>BUD-00093</t>
  </si>
  <si>
    <t>VERIFONE INC</t>
  </si>
  <si>
    <t>Verifone</t>
  </si>
  <si>
    <t>Provides payment and commerce solutions for businesses</t>
  </si>
  <si>
    <t>BUD-00091</t>
  </si>
  <si>
    <t>RIMINI STREET INC</t>
  </si>
  <si>
    <t>Oracle Technology (Retail) Support SOW</t>
  </si>
  <si>
    <t>BUD-00090</t>
  </si>
  <si>
    <t>MERIT CREDIT SYSTEMS</t>
  </si>
  <si>
    <t>Merit Credit Engine</t>
  </si>
  <si>
    <t>BUD-00088</t>
  </si>
  <si>
    <t>USERZOOM</t>
  </si>
  <si>
    <t>BUD-00087</t>
  </si>
  <si>
    <t>LP SOFTWARE INC</t>
  </si>
  <si>
    <t>Jesse Vera</t>
  </si>
  <si>
    <t>NetTrack/LPMS Cloud</t>
  </si>
  <si>
    <t>GPS fleet tracking and management software</t>
  </si>
  <si>
    <t>BUD-00086</t>
  </si>
  <si>
    <t>GOTO TECHNOLOGIES USA INC</t>
  </si>
  <si>
    <t>GoTo Meeting</t>
  </si>
  <si>
    <t xml:space="preserve"> HIPAA-compliant video conferencing with a signed Business Associate Agreement</t>
  </si>
  <si>
    <t>BUD-00085</t>
  </si>
  <si>
    <t>BUD-00084</t>
  </si>
  <si>
    <t>BUD-00083</t>
  </si>
  <si>
    <t>APRISS</t>
  </si>
  <si>
    <t>Apriss Loss Prevention</t>
  </si>
  <si>
    <t>Loss Prevention Software</t>
  </si>
  <si>
    <t>BUD-00082</t>
  </si>
  <si>
    <t>WORKDAY (ADP)</t>
  </si>
  <si>
    <t>ADP - HCM Platform</t>
  </si>
  <si>
    <t>Payroll, HR and Tax Services</t>
  </si>
  <si>
    <t>HR</t>
  </si>
  <si>
    <t>Workday HCM Platform</t>
  </si>
  <si>
    <t>BUD-00081</t>
  </si>
  <si>
    <t>HIGH TOUCH - ANOW Licenses - Planned by Finance in RT000</t>
  </si>
  <si>
    <t>HIGH TOUCH - ANOW Licenses</t>
  </si>
  <si>
    <t>BUD-00080</t>
  </si>
  <si>
    <t>VMWare - ELA</t>
  </si>
  <si>
    <t>VMware Horizon, now Omnissa Horizon, is a desktop and application virtualization solution that enables the delivery of virtual desktops and applications to end-users.</t>
  </si>
  <si>
    <t>BUD-00079</t>
  </si>
  <si>
    <t>Cradlepoint Netcloud</t>
  </si>
  <si>
    <t>Software platform that enables transition to a Wireless WAN.</t>
  </si>
  <si>
    <t>BUD-00078</t>
  </si>
  <si>
    <t>HP HW Support</t>
  </si>
  <si>
    <t>BUD-00077</t>
  </si>
  <si>
    <t>Oracle Database Support SOW</t>
  </si>
  <si>
    <t>Technology Support - Oracle</t>
  </si>
  <si>
    <t>BUD-00076</t>
  </si>
  <si>
    <t>Oracle Technology Support SOW</t>
  </si>
  <si>
    <t>BUD-00075</t>
  </si>
  <si>
    <t>Exadata</t>
  </si>
  <si>
    <t xml:space="preserve">Is a pre-configured, pre-tested, and optimized hardware and software system designed specifically for running Oracle databases. </t>
  </si>
  <si>
    <t>BUD-00074</t>
  </si>
  <si>
    <t>BUD-00073</t>
  </si>
  <si>
    <t>BUD-00072</t>
  </si>
  <si>
    <t>BUD-00071</t>
  </si>
  <si>
    <t>BUD-00070</t>
  </si>
  <si>
    <t>NSX Adv Load Balancer</t>
  </si>
  <si>
    <t>BUD-00069</t>
  </si>
  <si>
    <t>Azure</t>
  </si>
  <si>
    <t>cloud platform</t>
  </si>
  <si>
    <t>BUD-00068</t>
  </si>
  <si>
    <t>Big IP</t>
  </si>
  <si>
    <t>provides comprehensive application delivery and security services</t>
  </si>
  <si>
    <t>BUD-00067</t>
  </si>
  <si>
    <t>BUD-00066</t>
  </si>
  <si>
    <t>App Dynamics</t>
  </si>
  <si>
    <t>AppDynamics helps businesses monitor, troubleshoot, and optimize application performance, ultimately driving business results. </t>
  </si>
  <si>
    <t>BUD-00065</t>
  </si>
  <si>
    <t>DATADOG INC</t>
  </si>
  <si>
    <t>Data Dog</t>
  </si>
  <si>
    <t>A monitoring and analytics platform that provides comprehensive visibility into applications, infrastructure, and services.</t>
  </si>
  <si>
    <t>BUD-00064</t>
  </si>
  <si>
    <t>Meraki EA</t>
  </si>
  <si>
    <t>A cloud-based platform primarily used for simplifying and enhancing network management for businesses and organizations.</t>
  </si>
  <si>
    <t>BUD-00063</t>
  </si>
  <si>
    <t>AWS Monthly Service - RPAD DB(2) US-East + Growth</t>
  </si>
  <si>
    <t>BUD-00062</t>
  </si>
  <si>
    <t>AWS Monthly Service - RACPAD Rollout</t>
  </si>
  <si>
    <t>BUD-00061</t>
  </si>
  <si>
    <t>AWS Monthly Service - Existing - Optimization</t>
  </si>
  <si>
    <t>BUD-00060</t>
  </si>
  <si>
    <t>AWS Monthly Service - Existing</t>
  </si>
  <si>
    <t>BUD-00059</t>
  </si>
  <si>
    <t>AWS Monthly Service - DR RPAD DB(1) US-West</t>
  </si>
  <si>
    <t>BUD-00058</t>
  </si>
  <si>
    <t>AWS Monthly Service - DR (svc)</t>
  </si>
  <si>
    <t>BUD-00057</t>
  </si>
  <si>
    <t>AMAZON AWS Savings Plan : Compute</t>
  </si>
  <si>
    <t>BUD-00056</t>
  </si>
  <si>
    <t>BUD-00055</t>
  </si>
  <si>
    <t>BUD-00054</t>
  </si>
  <si>
    <t>AMAZON AWS Reserved Instances : Database</t>
  </si>
  <si>
    <t>BUD-00053</t>
  </si>
  <si>
    <t>NetApp Keystone for SIMS storage</t>
  </si>
  <si>
    <t>NetApp Keystone is a Storage-as-a-Service (STaaS) offering that can be used for SIMS (School Information Management System) storage</t>
  </si>
  <si>
    <t>BUD-00051R</t>
  </si>
  <si>
    <t>DOCUSIGN INC</t>
  </si>
  <si>
    <t>Ryan Christensen</t>
  </si>
  <si>
    <t>DOCUSIGN - RTO RAC</t>
  </si>
  <si>
    <t>DOCUSIGN</t>
  </si>
  <si>
    <t>BUD-00051A</t>
  </si>
  <si>
    <t>DOCUSIGN - LTO Acima</t>
  </si>
  <si>
    <t>BUD-00051</t>
  </si>
  <si>
    <t>Upbound</t>
  </si>
  <si>
    <t>BUD-00050</t>
  </si>
  <si>
    <t>Faronics-Deep Freeze</t>
  </si>
  <si>
    <t>BUD-00049</t>
  </si>
  <si>
    <t>BUD-00048</t>
  </si>
  <si>
    <t>Microsoft Suite - FSC</t>
  </si>
  <si>
    <t>BUD-00047</t>
  </si>
  <si>
    <t>HYBRIS CORP</t>
  </si>
  <si>
    <t>SAP HYBRIS</t>
  </si>
  <si>
    <t>Now known as SAP Commerce Cloud, is a cloud-based e-commerce platform for businesses</t>
  </si>
  <si>
    <t>BUD-00046</t>
  </si>
  <si>
    <t>Salesforce - B2B</t>
  </si>
  <si>
    <t>BUD-00045</t>
  </si>
  <si>
    <t>Salesforce - Digital Engagement//Sales and Service Cloud</t>
  </si>
  <si>
    <t>BUD-00044</t>
  </si>
  <si>
    <t>Okta External IAM</t>
  </si>
  <si>
    <t>BUD-00043</t>
  </si>
  <si>
    <t>Maven Wave / Google Maps</t>
  </si>
  <si>
    <t>Find local businesses, view maps and get driving directions in Google Maps.</t>
  </si>
  <si>
    <t>BUD-00039</t>
  </si>
  <si>
    <t>Amazon Web Services, Inc. (Acima)</t>
  </si>
  <si>
    <t>BUD-00038</t>
  </si>
  <si>
    <t>PAGERDUTY INC</t>
  </si>
  <si>
    <t>PagerDuty</t>
  </si>
  <si>
    <t>BUD-00037</t>
  </si>
  <si>
    <t>NEW RELIC INC</t>
  </si>
  <si>
    <t>New Relic, Inc, platform monitoring</t>
  </si>
  <si>
    <t xml:space="preserve">Offers a platform for observability, which includes a variety of monitoring tools for applications, infrastructure, and more. Their platform is designed to help teams understand the performance and behavior of their systems by collecting and analyzing telemetry data (metrics, events, logs, and traces) from various sources. </t>
  </si>
  <si>
    <t>BUD-00036</t>
  </si>
  <si>
    <t xml:space="preserve">Okta Premier Plus, API-Acima </t>
  </si>
  <si>
    <t>a premium support and success package</t>
  </si>
  <si>
    <t>BUD-00034</t>
  </si>
  <si>
    <t>QASE INC</t>
  </si>
  <si>
    <t>Qase Inc</t>
  </si>
  <si>
    <t>Qase is a tool designed to increase the productivity of QA and testing teams through collaboration and visibility</t>
  </si>
  <si>
    <t>BUD-00032</t>
  </si>
  <si>
    <t>MICROBILT CORPORATION</t>
  </si>
  <si>
    <t>Microbilt - Credit Agency for Underwriting</t>
  </si>
  <si>
    <t>Credit Agency for Underwriting</t>
  </si>
  <si>
    <t>BUD-00031</t>
  </si>
  <si>
    <t>PROVE</t>
  </si>
  <si>
    <t>Prove - Identity verification service</t>
  </si>
  <si>
    <t>Identity verification service</t>
  </si>
  <si>
    <t>BUD-00030</t>
  </si>
  <si>
    <t>Code Climate Inc</t>
  </si>
  <si>
    <t>Code Climate Code quality service</t>
  </si>
  <si>
    <t>BUD-00029</t>
  </si>
  <si>
    <t>PLAID INC</t>
  </si>
  <si>
    <t>Plaid Bank Account verification service</t>
  </si>
  <si>
    <t>Bank Account verification service</t>
  </si>
  <si>
    <t>BUD-00028</t>
  </si>
  <si>
    <t>STORIS INC</t>
  </si>
  <si>
    <t>Storis Retail services</t>
  </si>
  <si>
    <t>Retail services</t>
  </si>
  <si>
    <t>BUD-00027</t>
  </si>
  <si>
    <t>LINEARB INC</t>
  </si>
  <si>
    <t>LinearB developer productivity / reporting system</t>
  </si>
  <si>
    <t xml:space="preserve">LinearB is an engineering intelligence platform that helps software development teams improve their operational efficiency and delivery. It provides data-driven insights into team performance, workflow bottlenecks, and resource allocation, enabling teams to optimize their processes and achieve better outcomes. </t>
  </si>
  <si>
    <t>BUD-00025</t>
  </si>
  <si>
    <t>TOWERDATA LLC</t>
  </si>
  <si>
    <t>BUD-00024</t>
  </si>
  <si>
    <t>EXPERIAN MARKETING SOLUTIONS</t>
  </si>
  <si>
    <t>BUD-00022</t>
  </si>
  <si>
    <t>TOKENEX</t>
  </si>
  <si>
    <t>Bank Account Security Service</t>
  </si>
  <si>
    <t>BUD-00021</t>
  </si>
  <si>
    <t>VERSATILE CREDIT INC</t>
  </si>
  <si>
    <t>Versatile Credit Agency for Underwriting</t>
  </si>
  <si>
    <t>BUD-00020</t>
  </si>
  <si>
    <t>A data movement platform that specializes in automated data integration, including robust support for various database services. It acts as a connector, extracting data from source databases and loading it into a designated destination, typically a data warehouse or data lake.</t>
  </si>
  <si>
    <t>BUD-00019</t>
  </si>
  <si>
    <t>FIRST ADVANTAGE BACKGROUND</t>
  </si>
  <si>
    <t>First Advantage - Credit Agency for Underwriting</t>
  </si>
  <si>
    <t>677040 - RECRUITMENT</t>
  </si>
  <si>
    <t>BUD-00016</t>
  </si>
  <si>
    <t>TIMEWORXS LLC</t>
  </si>
  <si>
    <t>TimeWorx Contracting resources</t>
  </si>
  <si>
    <t>BUD-00015</t>
  </si>
  <si>
    <t>IRONIN</t>
  </si>
  <si>
    <t>Ironin - Contracting resources</t>
  </si>
  <si>
    <t>Contracting resources</t>
  </si>
  <si>
    <t>BUD-00014</t>
  </si>
  <si>
    <t>GLOBAL COMPASS</t>
  </si>
  <si>
    <t>Global Compass Contracting resources</t>
  </si>
  <si>
    <t>BUD-00012</t>
  </si>
  <si>
    <t>BUD-00011</t>
  </si>
  <si>
    <t>AMAZON AWS Savings Plan : Compute (Acima)</t>
  </si>
  <si>
    <t>BUD-00009</t>
  </si>
  <si>
    <t>KONICA MINOLTA PREMIER FINANCE</t>
  </si>
  <si>
    <t>Printing and Office Copier - Consolidating to single plan</t>
  </si>
  <si>
    <t>BUD-00008</t>
  </si>
  <si>
    <t>Zoho - ManageEngine AD management applications</t>
  </si>
  <si>
    <t>simplifies AD administration through features like bulk user management, automation, and reporting</t>
  </si>
  <si>
    <t>BUD-00007</t>
  </si>
  <si>
    <t>KEEPER SECURITY INC</t>
  </si>
  <si>
    <t xml:space="preserve">KeeperSecurity - Employee Password Vault </t>
  </si>
  <si>
    <t xml:space="preserve">Employee Password Vault </t>
  </si>
  <si>
    <t>BUD-00006</t>
  </si>
  <si>
    <t>ConvergeOne, Inc.</t>
  </si>
  <si>
    <t>Meraki license procurment (Acima VAR - Network procurement,)</t>
  </si>
  <si>
    <t>BUD-00005</t>
  </si>
  <si>
    <t>Google Workspace Enterprise Plus</t>
  </si>
  <si>
    <t>Phone PBX SIP services &amp; Archive licenses</t>
  </si>
  <si>
    <t>BUD-00002</t>
  </si>
  <si>
    <t>AMAZON CAPITAL SERVICES INC</t>
  </si>
  <si>
    <t>Office Supplies and Equipment</t>
  </si>
  <si>
    <t>676020 - OFFICE SUPPLIES</t>
  </si>
  <si>
    <t>n</t>
  </si>
  <si>
    <t>r</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</si>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</sst>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0"/>
      <color theme="1"/>
      <name val="Open Sans"/>
      <family val="2"/>
    </font>
    <font>
      <sz val="10"/>
      <color theme="1"/>
      <name val="Open Sans"/>
      <family val="2"/>
    </font>
    <font>
      <sz val="11"/>
      <color theme="1"/>
      <name val="Aptos Narrow"/>
      <family val="2"/>
      <scheme val="minor"/>
    </font>
    <font>
      <b/>
      <u/>
      <sz val="11"/>
      <color theme="0"/>
      <name val="Aptos Narrow"/>
      <family val="2"/>
      <scheme val="minor"/>
    </font>
    <font>
      <b/>
      <u/>
      <sz val="11"/>
      <name val="Aptos Narrow"/>
      <family val="2"/>
      <scheme val="minor"/>
    </font>
    <font>
      <b/>
      <u/>
      <sz val="11"/>
      <color theme="1"/>
      <name val="Aptos Narrow"/>
      <family val="2"/>
      <scheme val="minor"/>
    </font>
    <font>
      <sz val="9"/>
      <color theme="1"/>
      <name val="Open Sans"/>
    </font>
    <font>
      <sz val="9"/>
      <color rgb="FF0070C0"/>
      <name val="Open Sans"/>
    </font>
    <font>
      <sz val="9"/>
      <name val="Open Sans"/>
    </font>
    <font>
      <sz val="9"/>
      <color theme="1"/>
      <name val="Open Sans"/>
      <family val="2"/>
    </font>
    <font>
      <b/>
      <sz val="9"/>
      <color rgb="FFC00000"/>
      <name val="Open Sans"/>
    </font>
    <font>
      <sz val="9"/>
      <color rgb="FFFF0000"/>
      <name val="Open Sans"/>
    </font>
    <font>
      <sz val="9"/>
      <name val="Open Sans"/>
      <family val="2"/>
    </font>
    <font>
      <sz val="9"/>
      <color rgb="FF0070C0"/>
      <name val="Open Sans"/>
      <family val="2"/>
    </font>
  </fonts>
  <fills count="10">
    <fill>
      <patternFill patternType="none"/>
    </fill>
    <fill>
      <patternFill patternType="gray125"/>
    </fill>
    <fill>
      <gradientFill degree="90">
        <stop position="0">
          <color theme="0"/>
        </stop>
        <stop position="0.5">
          <color rgb="FFFFC000"/>
        </stop>
        <stop position="1">
          <color theme="0"/>
        </stop>
      </gradientFill>
    </fill>
    <fill>
      <gradientFill degree="90">
        <stop position="0">
          <color theme="0"/>
        </stop>
        <stop position="0.5">
          <color rgb="FFCC99FF"/>
        </stop>
        <stop position="1">
          <color theme="0"/>
        </stop>
      </gradientFill>
    </fill>
    <fill>
      <patternFill patternType="solid">
        <fgColor theme="2" tint="-0.249977111117893"/>
        <bgColor auto="1"/>
      </patternFill>
    </fill>
    <fill>
      <patternFill patternType="solid">
        <fgColor theme="1"/>
        <bgColor indexed="64"/>
      </patternFill>
    </fill>
    <fill>
      <patternFill patternType="solid">
        <fgColor rgb="FF99FF66"/>
        <bgColor indexed="64"/>
      </patternFill>
    </fill>
    <fill>
      <patternFill patternType="solid">
        <fgColor rgb="FFFFFFCC"/>
        <bgColor indexed="64"/>
      </patternFill>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cellStyleXfs>
  <cellXfs count="26">
    <xf numFmtId="0" fontId="0" fillId="0" borderId="0" xfId="0"/>
    <xf numFmtId="0" fontId="3" fillId="0" borderId="0" xfId="2" applyFont="1" applyAlignment="1">
      <alignment vertical="center"/>
    </xf>
    <xf numFmtId="0" fontId="4" fillId="2" borderId="0" xfId="0" applyFont="1" applyFill="1" applyAlignment="1">
      <alignment vertical="center"/>
    </xf>
    <xf numFmtId="0" fontId="4" fillId="3" borderId="0" xfId="0" applyFont="1" applyFill="1" applyAlignment="1">
      <alignment vertical="center"/>
    </xf>
    <xf numFmtId="0" fontId="4" fillId="4" borderId="0" xfId="0" applyFont="1" applyFill="1" applyAlignment="1">
      <alignment vertical="center"/>
    </xf>
    <xf numFmtId="0" fontId="5" fillId="5" borderId="0" xfId="2" applyFont="1" applyFill="1" applyAlignment="1">
      <alignment vertical="center"/>
    </xf>
    <xf numFmtId="0" fontId="2" fillId="0" borderId="0" xfId="2" applyAlignment="1">
      <alignment vertical="center"/>
    </xf>
    <xf numFmtId="0" fontId="6" fillId="0" borderId="0" xfId="2" applyFont="1"/>
    <xf numFmtId="0" fontId="6" fillId="0" borderId="0" xfId="2" applyFont="1" applyAlignment="1">
      <alignment horizontal="center"/>
    </xf>
    <xf numFmtId="0" fontId="7" fillId="0" borderId="0" xfId="2" applyFont="1" applyAlignment="1">
      <alignment horizontal="left" indent="1"/>
    </xf>
    <xf numFmtId="0" fontId="6" fillId="0" borderId="0" xfId="2" applyFont="1" applyAlignment="1">
      <alignment horizontal="left" indent="1"/>
    </xf>
    <xf numFmtId="164" fontId="6" fillId="0" borderId="0" xfId="1" applyNumberFormat="1" applyFont="1" applyFill="1" applyAlignment="1">
      <alignment horizontal="center" vertical="center"/>
    </xf>
    <xf numFmtId="164" fontId="6" fillId="0" borderId="0" xfId="2" applyNumberFormat="1" applyFont="1"/>
    <xf numFmtId="0" fontId="2" fillId="0" borderId="0" xfId="2"/>
    <xf numFmtId="0" fontId="7" fillId="6" borderId="0" xfId="2" applyFont="1" applyFill="1" applyAlignment="1">
      <alignment horizontal="left" indent="1"/>
    </xf>
    <xf numFmtId="0" fontId="8" fillId="0" borderId="0" xfId="2" applyFont="1"/>
    <xf numFmtId="0" fontId="9" fillId="0" borderId="0" xfId="2" applyFont="1"/>
    <xf numFmtId="0" fontId="7" fillId="6" borderId="0" xfId="2" applyFont="1" applyFill="1" applyAlignment="1">
      <alignment horizontal="left"/>
    </xf>
    <xf numFmtId="0" fontId="9" fillId="0" borderId="0" xfId="2" applyFont="1" applyAlignment="1">
      <alignment horizontal="center"/>
    </xf>
    <xf numFmtId="0" fontId="6" fillId="0" borderId="0" xfId="0" applyFont="1"/>
    <xf numFmtId="0" fontId="10" fillId="0" borderId="0" xfId="2" applyFont="1"/>
    <xf numFmtId="0" fontId="11" fillId="7" borderId="0" xfId="2" applyFont="1" applyFill="1"/>
    <xf numFmtId="0" fontId="6" fillId="8" borderId="0" xfId="2" applyFont="1" applyFill="1"/>
    <xf numFmtId="0" fontId="6" fillId="9" borderId="0" xfId="2" applyFont="1" applyFill="1"/>
    <xf numFmtId="0" fontId="12" fillId="0" borderId="0" xfId="2" applyFont="1"/>
    <xf numFmtId="0" fontId="13" fillId="0" borderId="0" xfId="2" applyFont="1" applyAlignment="1">
      <alignment horizontal="left" indent="1"/>
    </xf>
  </cellXfs>
  <cellStyles count="3">
    <cellStyle name="Normal" xfId="0" builtinId="0"/>
    <cellStyle name="Normal 2" xfId="2" xr:uid="{EB8D1F2B-A3A9-4F6C-B960-323F7796F13E}"/>
    <cellStyle name="Percent" xfId="1" builtinId="5"/>
  </cellStyles>
  <dxfs count="25">
    <dxf>
      <font>
        <strike val="0"/>
        <outline val="0"/>
        <shadow val="0"/>
        <u val="none"/>
        <vertAlign val="baseline"/>
        <sz val="9"/>
        <name val="Open Sans"/>
        <scheme val="none"/>
      </font>
      <numFmt numFmtId="164" formatCode="0.0%"/>
      <fill>
        <patternFill patternType="none">
          <bgColor auto="1"/>
        </patternFill>
      </fill>
    </dxf>
    <dxf>
      <font>
        <strike val="0"/>
        <outline val="0"/>
        <shadow val="0"/>
        <u val="none"/>
        <vertAlign val="baseline"/>
        <sz val="9"/>
        <name val="Open Sans"/>
        <scheme val="none"/>
      </font>
      <numFmt numFmtId="164" formatCode="0.0%"/>
      <fill>
        <patternFill patternType="none">
          <bgColor auto="1"/>
        </patternFill>
      </fill>
    </dxf>
    <dxf>
      <font>
        <strike val="0"/>
        <outline val="0"/>
        <shadow val="0"/>
        <u val="none"/>
        <vertAlign val="baseline"/>
        <sz val="9"/>
        <name val="Open Sans"/>
        <scheme val="none"/>
      </font>
      <numFmt numFmtId="164" formatCode="0.0%"/>
      <fill>
        <patternFill patternType="none">
          <bgColor auto="1"/>
        </patternFill>
      </fill>
    </dxf>
    <dxf>
      <font>
        <strike val="0"/>
        <outline val="0"/>
        <shadow val="0"/>
        <u val="none"/>
        <vertAlign val="baseline"/>
        <sz val="9"/>
        <name val="Open Sans"/>
        <scheme val="none"/>
      </font>
      <numFmt numFmtId="164" formatCode="0.0%"/>
      <fill>
        <patternFill patternType="none">
          <bgColor auto="1"/>
        </patternFill>
      </fill>
    </dxf>
    <dxf>
      <font>
        <strike val="0"/>
        <outline val="0"/>
        <shadow val="0"/>
        <u val="none"/>
        <vertAlign val="baseline"/>
        <sz val="9"/>
        <name val="Open Sans"/>
        <scheme val="none"/>
      </font>
      <numFmt numFmtId="164" formatCode="0.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9"/>
        <name val="Open Sans"/>
        <scheme val="none"/>
      </font>
      <numFmt numFmtId="0" formatCode="General"/>
      <fill>
        <patternFill patternType="none">
          <fgColor indexed="64"/>
          <bgColor indexed="65"/>
        </patternFill>
      </fill>
    </dxf>
    <dxf>
      <font>
        <strike val="0"/>
        <outline val="0"/>
        <shadow val="0"/>
        <u val="none"/>
        <vertAlign val="baseline"/>
        <sz val="9"/>
        <name val="Open Sans"/>
        <scheme val="none"/>
      </font>
      <numFmt numFmtId="0" formatCode="General"/>
      <fill>
        <patternFill patternType="none">
          <bgColor auto="1"/>
        </patternFill>
      </fill>
      <alignment horizontal="left" vertical="bottom" textRotation="0" wrapText="0" indent="1" justifyLastLine="0" shrinkToFit="0" readingOrder="0"/>
    </dxf>
    <dxf>
      <font>
        <strike val="0"/>
        <outline val="0"/>
        <shadow val="0"/>
        <u val="none"/>
        <vertAlign val="baseline"/>
        <sz val="9"/>
        <color rgb="FF0070C0"/>
        <name val="Open Sans"/>
        <scheme val="none"/>
      </font>
      <numFmt numFmtId="0" formatCode="General"/>
      <fill>
        <patternFill patternType="none">
          <fgColor indexed="64"/>
          <bgColor indexed="65"/>
        </patternFill>
      </fill>
      <alignment horizontal="left" vertical="bottom" textRotation="0" wrapText="0" indent="1" justifyLastLine="0" shrinkToFit="0" readingOrder="0"/>
    </dxf>
    <dxf>
      <font>
        <strike val="0"/>
        <outline val="0"/>
        <shadow val="0"/>
        <u val="none"/>
        <vertAlign val="baseline"/>
        <sz val="9"/>
        <color rgb="FF0070C0"/>
        <name val="Open Sans"/>
        <scheme val="none"/>
      </font>
      <numFmt numFmtId="0" formatCode="General"/>
      <fill>
        <patternFill patternType="none">
          <fgColor indexed="64"/>
          <bgColor indexed="65"/>
        </patternFill>
      </fill>
      <alignment horizontal="left" vertical="bottom" textRotation="0" wrapText="0" indent="1" justifyLastLine="0" shrinkToFit="0" readingOrder="0"/>
    </dxf>
    <dxf>
      <font>
        <strike val="0"/>
        <outline val="0"/>
        <shadow val="0"/>
        <u val="none"/>
        <vertAlign val="baseline"/>
        <sz val="9"/>
        <color rgb="FF0070C0"/>
        <name val="Open Sans"/>
        <scheme val="none"/>
      </font>
      <numFmt numFmtId="0" formatCode="General"/>
      <fill>
        <patternFill patternType="none">
          <fgColor indexed="64"/>
          <bgColor indexed="65"/>
        </patternFill>
      </fill>
      <alignment horizontal="left" vertical="bottom" textRotation="0" wrapText="0" indent="1" justifyLastLine="0" shrinkToFit="0" readingOrder="0"/>
    </dxf>
    <dxf>
      <font>
        <strike val="0"/>
        <outline val="0"/>
        <shadow val="0"/>
        <u val="none"/>
        <vertAlign val="baseline"/>
        <sz val="9"/>
        <name val="Open Sans"/>
        <scheme val="none"/>
      </font>
      <numFmt numFmtId="0" formatCode="General"/>
      <fill>
        <patternFill patternType="none">
          <bgColor auto="1"/>
        </patternFill>
      </fill>
    </dxf>
    <dxf>
      <font>
        <strike val="0"/>
        <outline val="0"/>
        <shadow val="0"/>
        <u val="none"/>
        <vertAlign val="baseline"/>
        <sz val="9"/>
        <name val="Open Sans"/>
        <scheme val="none"/>
      </font>
      <numFmt numFmtId="0" formatCode="General"/>
      <fill>
        <patternFill patternType="none">
          <bgColor auto="1"/>
        </patternFill>
      </fill>
    </dxf>
    <dxf>
      <font>
        <strike val="0"/>
        <outline val="0"/>
        <shadow val="0"/>
        <u val="none"/>
        <vertAlign val="baseline"/>
        <sz val="9"/>
        <name val="Open Sans"/>
        <scheme val="none"/>
      </font>
      <fill>
        <patternFill patternType="none">
          <bgColor auto="1"/>
        </patternFill>
      </fill>
    </dxf>
    <dxf>
      <font>
        <strike val="0"/>
        <outline val="0"/>
        <shadow val="0"/>
        <u val="none"/>
        <vertAlign val="baseline"/>
        <sz val="9"/>
        <name val="Open Sans"/>
        <scheme val="none"/>
      </font>
      <fill>
        <patternFill patternType="none">
          <bgColor auto="1"/>
        </patternFill>
      </fill>
    </dxf>
    <dxf>
      <font>
        <b val="0"/>
        <i val="0"/>
        <strike val="0"/>
        <condense val="0"/>
        <extend val="0"/>
        <outline val="0"/>
        <shadow val="0"/>
        <u val="none"/>
        <vertAlign val="baseline"/>
        <sz val="9"/>
        <color theme="1"/>
        <name val="Open Sans"/>
        <scheme val="none"/>
      </font>
      <numFmt numFmtId="0" formatCode="General"/>
    </dxf>
    <dxf>
      <font>
        <strike val="0"/>
        <outline val="0"/>
        <shadow val="0"/>
        <u val="none"/>
        <vertAlign val="baseline"/>
        <sz val="9"/>
        <name val="Open Sans"/>
        <scheme val="none"/>
      </font>
      <fill>
        <patternFill patternType="none">
          <bgColor auto="1"/>
        </patternFill>
      </fill>
    </dxf>
    <dxf>
      <font>
        <strike val="0"/>
        <outline val="0"/>
        <shadow val="0"/>
        <u val="none"/>
        <vertAlign val="baseline"/>
        <sz val="9"/>
        <name val="Open Sans"/>
        <scheme val="none"/>
      </font>
      <fill>
        <patternFill patternType="none">
          <bgColor auto="1"/>
        </patternFill>
      </fill>
    </dxf>
    <dxf>
      <font>
        <strike val="0"/>
        <outline val="0"/>
        <shadow val="0"/>
        <u val="none"/>
        <vertAlign val="baseline"/>
        <sz val="9"/>
        <name val="Open Sans"/>
        <scheme val="none"/>
      </font>
      <fill>
        <patternFill patternType="none">
          <bgColor auto="1"/>
        </patternFill>
      </fill>
    </dxf>
    <dxf>
      <font>
        <strike val="0"/>
        <outline val="0"/>
        <shadow val="0"/>
        <u val="none"/>
        <vertAlign val="baseline"/>
        <sz val="9"/>
        <name val="Open Sans"/>
        <scheme val="none"/>
      </font>
      <fill>
        <patternFill patternType="none">
          <bgColor auto="1"/>
        </patternFill>
      </fill>
    </dxf>
    <dxf>
      <font>
        <strike val="0"/>
        <outline val="0"/>
        <shadow val="0"/>
        <u val="none"/>
        <vertAlign val="baseline"/>
        <sz val="9"/>
        <name val="Open Sans"/>
        <scheme val="none"/>
      </font>
      <fill>
        <patternFill patternType="none">
          <bgColor auto="1"/>
        </patternFill>
      </fill>
      <alignment horizontal="center" vertical="bottom" textRotation="0" wrapText="0" indent="0" justifyLastLine="0" shrinkToFit="0" readingOrder="0"/>
    </dxf>
    <dxf>
      <font>
        <strike val="0"/>
        <outline val="0"/>
        <shadow val="0"/>
        <u val="none"/>
        <vertAlign val="baseline"/>
        <sz val="9"/>
        <name val="Open Sans"/>
        <scheme val="none"/>
      </font>
      <fill>
        <patternFill patternType="none">
          <bgColor auto="1"/>
        </patternFill>
      </fill>
    </dxf>
    <dxf>
      <font>
        <strike val="0"/>
        <outline val="0"/>
        <shadow val="0"/>
        <u val="none"/>
        <vertAlign val="baseline"/>
        <sz val="9"/>
        <name val="Open Sans"/>
        <scheme val="none"/>
      </font>
      <fill>
        <patternFill patternType="none">
          <fgColor indexed="64"/>
          <bgColor indexed="65"/>
        </patternFill>
      </fill>
    </dxf>
    <dxf>
      <font>
        <strike val="0"/>
        <outline val="0"/>
        <shadow val="0"/>
        <u val="none"/>
        <vertAlign val="baseline"/>
        <sz val="9"/>
        <name val="Open Sans"/>
        <scheme val="none"/>
      </font>
      <fill>
        <patternFill patternType="none">
          <bgColor auto="1"/>
        </patternFill>
      </fill>
    </dxf>
    <dxf>
      <font>
        <strike val="0"/>
        <outline val="0"/>
        <shadow val="0"/>
        <u val="none"/>
        <vertAlign val="baseline"/>
        <sz val="9"/>
        <name val="Open Sans"/>
        <scheme val="none"/>
      </font>
      <fill>
        <patternFill patternType="none">
          <bgColor auto="1"/>
        </patternFill>
      </fill>
    </dxf>
    <dxf>
      <font>
        <b/>
        <strike val="0"/>
        <outline val="0"/>
        <shadow val="0"/>
        <u/>
        <vertAlign val="baseline"/>
        <sz val="11"/>
        <color theme="1"/>
        <name val="Aptos Narrow"/>
        <family val="2"/>
        <scheme val="minor"/>
      </font>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Jan Horak" id="{2F7359B6-B19B-46CA-9C4F-3A2BB07B1A89}" userId="S::jan.horak@upbound.com::573eeb53-3c27-4f48-b4b3-da2f33ee0667" providerId="AD"/>
  <person displayName="John Doenges" id="{B5349669-4C0A-4F57-A7F7-66C9B0581063}" userId="S::John.Doenges@Rentacenter.com::3d375a1d-561d-440d-af54-361733bbd24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370C82-F96E-4BFF-A86A-9FC106E5011F}" name="IDMaster" displayName="IDMaster" ref="A1:W624" totalsRowShown="0" headerRowDxfId="24" dataDxfId="23" dataCellStyle="Normal 2">
  <autoFilter ref="A1:W624" xr:uid="{93660490-4B11-4834-B31A-D942D1E8EEDD}"/>
  <sortState xmlns:xlrd2="http://schemas.microsoft.com/office/spreadsheetml/2017/richdata2" ref="A42:W612">
    <sortCondition descending="1" ref="B1:B624"/>
  </sortState>
  <tableColumns count="23">
    <tableColumn id="19" xr3:uid="{CF17131A-29EB-465A-9D81-2DD641929536}" name="Scenario" dataDxfId="22" dataCellStyle="Normal 2"/>
    <tableColumn id="1" xr3:uid="{54934031-0AC4-4937-8C50-0A00340E970E}" name="ID" dataDxfId="21" dataCellStyle="Normal 2"/>
    <tableColumn id="2" xr3:uid="{246C9C8E-C85B-4B0A-B57C-470ACFDE04C8}" name="Supplier" dataDxfId="20" dataCellStyle="Normal 2"/>
    <tableColumn id="3" xr3:uid="{DB17B7C7-9DC4-406B-B921-5C1261373359}" name="Supplier Number" dataDxfId="19" dataCellStyle="Normal 2"/>
    <tableColumn id="4" xr3:uid="{EEA82E83-21F5-41F4-A969-37C06EB38805}" name="Approver" dataDxfId="18" dataCellStyle="Normal 2"/>
    <tableColumn id="5" xr3:uid="{8C3DBBB1-1652-443C-BF9E-CE0560EFFA12}" name="Product" dataDxfId="17" dataCellStyle="Normal 2"/>
    <tableColumn id="6" xr3:uid="{90752AD3-B44C-400B-9D0F-2A731602160D}" name="DT Cost Center" dataDxfId="16" dataCellStyle="Normal 2"/>
    <tableColumn id="7" xr3:uid="{9A1471BA-944B-4EA9-B56A-7D9A8EA60E2C}" name="2025 Location" dataDxfId="15" dataCellStyle="Normal 2"/>
    <tableColumn id="28" xr3:uid="{EDAC961E-FF71-4887-BE12-808A153998F3}" name="Upbound Segment" dataDxfId="14" dataCellStyle="Normal 2"/>
    <tableColumn id="16" xr3:uid="{4825B39A-9CD6-4D52-809B-07969BF2771E}" name="Budget Category" dataDxfId="13" dataCellStyle="Normal 2"/>
    <tableColumn id="18" xr3:uid="{8A8A2995-6108-485E-94FD-BC9A4D065142}" name="GL ACCOUNT" dataDxfId="12" dataCellStyle="Normal 2"/>
    <tableColumn id="20" xr3:uid="{409F46BA-92E8-448C-A9DF-AFB49C5B70D9}" name="GL Category" dataDxfId="11" dataCellStyle="Normal 2"/>
    <tableColumn id="12" xr3:uid="{C8CE8ACE-EE8E-4254-A323-69569FDD1D8B}" name="Product Description" dataDxfId="10" dataCellStyle="Normal 2"/>
    <tableColumn id="14" xr3:uid="{7D045F6A-99DB-4AC8-9880-FF4DEE02CC5A}" name="Basis" dataDxfId="9" dataCellStyle="Normal 2"/>
    <tableColumn id="13" xr3:uid="{3FB5FC30-F627-4E9C-B10F-5416A667F24B}" name="Supported Group" dataDxfId="8" dataCellStyle="Normal 2"/>
    <tableColumn id="17" xr3:uid="{165B60C5-669E-4713-836D-F9CAB0A9D66C}" name="Consumption" dataDxfId="7" dataCellStyle="Normal 2"/>
    <tableColumn id="21" xr3:uid="{35967170-B35B-4D3C-A4CE-C7ED54FDFC4D}" name="Allocation Basis" dataDxfId="6" dataCellStyle="Normal 2">
      <calculatedColumnFormula>IF(IDMaster[[#This Row],[Consumption]]="Consumption",IDMaster[[#This Row],[Consumption]],IDMaster[[#This Row],[Basis]])</calculatedColumnFormula>
    </tableColumn>
    <tableColumn id="15" xr3:uid="{BF5A3760-F807-4208-AE14-A969C6767B55}" name="Allocation.Basis" dataDxfId="5" dataCellStyle="Normal 2">
      <calculatedColumnFormula>IDMaster[[#This Row],[Supported Group]]&amp;"."&amp;IDMaster[[#This Row],[Basis]]</calculatedColumnFormula>
    </tableColumn>
    <tableColumn id="22" xr3:uid="{4C2CB966-7E1E-4702-851F-59EE39A05585}" name="RAC%" dataDxfId="4" dataCellStyle="Percent"/>
    <tableColumn id="23" xr3:uid="{79554756-7DC8-4571-92EC-47309E151247}" name="Acima%" dataDxfId="3" dataCellStyle="Normal 2"/>
    <tableColumn id="24" xr3:uid="{08AA1C6A-CA9C-447B-B1A9-ADAD0419D5F2}" name="Mexico%" dataDxfId="2" dataCellStyle="Normal 2"/>
    <tableColumn id="26" xr3:uid="{5381F332-1667-46A7-959B-20734946510E}" name="Brigit%" dataDxfId="1" dataCellStyle="Normal 2"/>
    <tableColumn id="27" xr3:uid="{3B3ADFE5-B6F7-4375-AA44-DFAB86EF477E}" name="Shared Service%" dataDxfId="0" dataCellStyle="Normal 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57" dT="2025-11-18T21:03:53.61" personId="{2F7359B6-B19B-46CA-9C4F-3A2BB07B1A89}" id="{443A35F5-6C0F-467B-A7D2-003C791F78EE}">
    <text>Hashicorp</text>
  </threadedComment>
  <threadedComment ref="D76" dT="2025-11-18T21:22:02.01" personId="{2F7359B6-B19B-46CA-9C4F-3A2BB07B1A89}" id="{498C9232-0AB6-4E60-8EED-497556BA39AE}">
    <text>Bought through AWS</text>
  </threadedComment>
  <threadedComment ref="D78" dT="2025-11-18T21:21:07.93" personId="{2F7359B6-B19B-46CA-9C4F-3A2BB07B1A89}" id="{9EAD4336-7D41-4221-B2F3-2A45CD39356A}">
    <text>Vendor deleted</text>
  </threadedComment>
  <threadedComment ref="D85" dT="2025-11-18T21:20:10.68" personId="{2F7359B6-B19B-46CA-9C4F-3A2BB07B1A89}" id="{F351732B-6C03-4397-8094-661CCE899CEB}">
    <text xml:space="preserve">SHI Corp
</text>
  </threadedComment>
  <threadedComment ref="D173" dT="2025-11-18T20:52:14.45" personId="{2F7359B6-B19B-46CA-9C4F-3A2BB07B1A89}" id="{59F8E1DF-7E67-4E6B-A2A2-10C7D1BE5D77}">
    <text>Winmill ID</text>
  </threadedComment>
  <threadedComment ref="I313" dT="2025-11-14T22:17:24.19" personId="{B5349669-4C0A-4F57-A7F7-66C9B0581063}" id="{F19F3CCC-6098-471A-BB4C-08CF5ECBED88}">
    <text>SEGMENT CHANGE : Was CORP, Changed to FIELD per 11/14/25 ‘side by side Items by Segment’ tab</text>
  </threadedComment>
  <threadedComment ref="I400" dT="2025-11-14T22:17:24.19" personId="{B5349669-4C0A-4F57-A7F7-66C9B0581063}" id="{555481A5-2119-42B9-A743-1D53BCEAC8E2}">
    <text>SEGMENT CHANGE : Was CORP, Changed to FIELD per 11/14/25 ‘side by side Items by Segment’ tab</text>
  </threadedComment>
  <threadedComment ref="I536" dT="2025-11-14T22:17:24.19" personId="{B5349669-4C0A-4F57-A7F7-66C9B0581063}" id="{BA74EB85-167F-42D8-A93D-2FB71ACFB671}">
    <text>SEGMENT CHANGE : Was CORP, Changed to FIELD per 11/14/25 ‘side by side Items by Segment’ tab</text>
  </threadedComment>
  <threadedComment ref="I539" dT="2025-11-14T22:17:24.19" personId="{B5349669-4C0A-4F57-A7F7-66C9B0581063}" id="{F59049E9-1785-4C45-8F97-CBE30E15E17B}">
    <text>SEGMENT CHANGE : Was CORP, Changed to FIELD per 11/14/25 ‘side by side Items by Segment’ tab</text>
  </threadedComment>
  <threadedComment ref="I541" dT="2025-11-14T22:17:24.19" personId="{B5349669-4C0A-4F57-A7F7-66C9B0581063}" id="{ADA20204-3619-4525-BF52-BC885A2FE0CD}">
    <text>SEGMENT CHANGE : Was CORP, Changed to FIELD per 11/14/25 ‘side by side Items by Segment’ tab</text>
  </threadedComment>
  <threadedComment ref="I542" dT="2025-11-14T22:17:24.19" personId="{B5349669-4C0A-4F57-A7F7-66C9B0581063}" id="{69843530-3364-4EB1-8EFD-7865E8791CC9}">
    <text>SEGMENT CHANGE : Was CORP, Changed to FIELD per 11/14/25 ‘side by side Items by Segment’ tab</text>
  </threadedComment>
  <threadedComment ref="I543" dT="2025-11-14T22:17:24.19" personId="{B5349669-4C0A-4F57-A7F7-66C9B0581063}" id="{BD085B51-AE23-400A-8E96-44493638E1CA}">
    <text>SEGMENT CHANGE : Was CORP, Changed to FIELD per 11/14/25 ‘side by side Items by Segment’ tab</text>
  </threadedComment>
  <threadedComment ref="I595" dT="2025-11-14T22:17:24.19" personId="{B5349669-4C0A-4F57-A7F7-66C9B0581063}" id="{D09C61C0-AF8C-4B54-9138-A33EF5648FDB}">
    <text>SEGMENT CHANGE : Was CORP, Changed to FIELD per 11/14/25 ‘side by side Items by Segment’ tab</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BEE96-D3EF-4D07-BFE9-BFCF05A81756}">
  <sheetPr>
    <tabColor rgb="FFFFFFCC"/>
  </sheetPr>
  <dimension ref="A1:AG631"/>
  <sheetViews>
    <sheetView tabSelected="1" topLeftCell="A163" zoomScaleNormal="100" workbookViewId="0">
      <selection activeCell="C168" sqref="C168"/>
    </sheetView>
  </sheetViews>
  <sheetFormatPr defaultColWidth="8.85546875" defaultRowHeight="16.5" outlineLevelCol="1" x14ac:dyDescent="0.35"/>
  <cols>
    <col min="1" max="1" width="8.85546875" style="13"/>
    <col min="2" max="2" width="12.7109375" style="13" customWidth="1"/>
    <col min="3" max="3" width="25.85546875" style="13" customWidth="1"/>
    <col min="4" max="4" width="15.28515625" style="13" customWidth="1"/>
    <col min="5" max="5" width="18.42578125" style="13" bestFit="1" customWidth="1"/>
    <col min="6" max="6" width="49.28515625" style="13" customWidth="1"/>
    <col min="7" max="7" width="24.7109375" style="13" customWidth="1"/>
    <col min="8" max="8" width="13" style="13" customWidth="1" outlineLevel="1"/>
    <col min="9" max="9" width="17.85546875" style="13" bestFit="1" customWidth="1"/>
    <col min="10" max="10" width="27.85546875" style="13" customWidth="1"/>
    <col min="11" max="11" width="38.85546875" style="13" customWidth="1" outlineLevel="1"/>
    <col min="12" max="12" width="19.7109375" style="13" bestFit="1" customWidth="1"/>
    <col min="13" max="13" width="24" style="13" customWidth="1"/>
    <col min="14" max="14" width="14.85546875" bestFit="1" customWidth="1"/>
    <col min="15" max="15" width="16.42578125" bestFit="1" customWidth="1"/>
    <col min="16" max="16" width="15.7109375" style="13" bestFit="1" customWidth="1"/>
    <col min="17" max="17" width="17.85546875" bestFit="1" customWidth="1"/>
    <col min="18" max="18" width="19.7109375" customWidth="1"/>
    <col min="20" max="20" width="9.42578125" bestFit="1" customWidth="1"/>
    <col min="21" max="21" width="10.42578125" style="13" bestFit="1" customWidth="1"/>
    <col min="22" max="22" width="12.85546875" style="13" bestFit="1" customWidth="1"/>
    <col min="23" max="23" width="16.7109375" style="13" bestFit="1" customWidth="1"/>
    <col min="34" max="16384" width="8.85546875" style="13"/>
  </cols>
  <sheetData>
    <row r="1" spans="1:33" s="6" customFormat="1" x14ac:dyDescent="0.35">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3" t="s">
        <v>16</v>
      </c>
      <c r="R1" s="4" t="s">
        <v>17</v>
      </c>
      <c r="S1" s="5" t="s">
        <v>18</v>
      </c>
      <c r="T1" s="5" t="s">
        <v>19</v>
      </c>
      <c r="U1" s="5" t="s">
        <v>20</v>
      </c>
      <c r="V1" s="5" t="s">
        <v>21</v>
      </c>
      <c r="W1" s="5" t="s">
        <v>22</v>
      </c>
      <c r="X1"/>
      <c r="Y1"/>
      <c r="Z1"/>
      <c r="AA1"/>
      <c r="AB1"/>
      <c r="AC1"/>
      <c r="AD1"/>
      <c r="AE1"/>
      <c r="AF1"/>
      <c r="AG1"/>
    </row>
    <row r="2" spans="1:33" x14ac:dyDescent="0.35">
      <c r="A2" s="7" t="s">
        <v>23</v>
      </c>
      <c r="B2" s="7" t="s">
        <v>24</v>
      </c>
      <c r="C2" s="7" t="s">
        <v>25</v>
      </c>
      <c r="D2" s="8"/>
      <c r="E2" s="7" t="s">
        <v>25</v>
      </c>
      <c r="F2" s="7" t="s">
        <v>26</v>
      </c>
      <c r="G2" s="7" t="s">
        <v>25</v>
      </c>
      <c r="H2" s="7" t="s">
        <v>27</v>
      </c>
      <c r="I2" s="7" t="s">
        <v>28</v>
      </c>
      <c r="J2" s="7" t="s">
        <v>24</v>
      </c>
      <c r="K2" s="7" t="s">
        <v>29</v>
      </c>
      <c r="L2" s="7" t="s">
        <v>30</v>
      </c>
      <c r="M2" s="7" t="s">
        <v>31</v>
      </c>
      <c r="N2" s="9" t="s">
        <v>32</v>
      </c>
      <c r="O2" s="9" t="s">
        <v>33</v>
      </c>
      <c r="P2" s="9" t="s">
        <v>34</v>
      </c>
      <c r="Q2" s="10" t="str">
        <f>IF(IDMaster[[#This Row],[Consumption]]="Consumption",IDMaster[[#This Row],[Consumption]],IDMaster[[#This Row],[Basis]])</f>
        <v>Revenue</v>
      </c>
      <c r="R2" s="7" t="str">
        <f>IDMaster[[#This Row],[Supported Group]]&amp;"."&amp;IDMaster[[#This Row],[Basis]]</f>
        <v>IT Tools.Revenue</v>
      </c>
      <c r="S2" s="11">
        <v>0.42185161428265983</v>
      </c>
      <c r="T2" s="12">
        <v>0.57814838571734017</v>
      </c>
      <c r="U2" s="12">
        <v>0</v>
      </c>
      <c r="V2" s="12">
        <v>0</v>
      </c>
      <c r="W2" s="12">
        <v>0</v>
      </c>
    </row>
    <row r="3" spans="1:33" x14ac:dyDescent="0.35">
      <c r="A3" s="7" t="s">
        <v>23</v>
      </c>
      <c r="B3" s="7" t="s">
        <v>35</v>
      </c>
      <c r="C3" s="7" t="s">
        <v>25</v>
      </c>
      <c r="D3" s="8"/>
      <c r="E3" s="7" t="s">
        <v>36</v>
      </c>
      <c r="F3" s="7" t="s">
        <v>37</v>
      </c>
      <c r="G3" s="7" t="s">
        <v>38</v>
      </c>
      <c r="H3" s="7" t="s">
        <v>39</v>
      </c>
      <c r="I3" s="7" t="s">
        <v>28</v>
      </c>
      <c r="J3" s="7" t="s">
        <v>40</v>
      </c>
      <c r="K3" s="7" t="s">
        <v>41</v>
      </c>
      <c r="L3" s="7" t="s">
        <v>42</v>
      </c>
      <c r="M3" s="7" t="s">
        <v>43</v>
      </c>
      <c r="N3" s="9" t="s">
        <v>32</v>
      </c>
      <c r="O3" s="9" t="s">
        <v>44</v>
      </c>
      <c r="P3" s="9" t="s">
        <v>34</v>
      </c>
      <c r="Q3" s="10" t="str">
        <f>IF(IDMaster[[#This Row],[Consumption]]="Consumption",IDMaster[[#This Row],[Consumption]],IDMaster[[#This Row],[Basis]])</f>
        <v>Revenue</v>
      </c>
      <c r="R3" s="7" t="str">
        <f>IDMaster[[#This Row],[Supported Group]]&amp;"."&amp;IDMaster[[#This Row],[Basis]]</f>
        <v>Corporate.Revenue</v>
      </c>
      <c r="S3" s="11">
        <v>0.42185161428265983</v>
      </c>
      <c r="T3" s="12">
        <v>0.57814838571734017</v>
      </c>
      <c r="U3" s="12">
        <v>0</v>
      </c>
      <c r="V3" s="12">
        <v>0</v>
      </c>
      <c r="W3" s="12">
        <v>0</v>
      </c>
    </row>
    <row r="4" spans="1:33" x14ac:dyDescent="0.35">
      <c r="A4" s="7" t="s">
        <v>23</v>
      </c>
      <c r="B4" s="7" t="s">
        <v>45</v>
      </c>
      <c r="C4" s="7" t="s">
        <v>25</v>
      </c>
      <c r="D4" s="8"/>
      <c r="E4" s="7" t="s">
        <v>46</v>
      </c>
      <c r="F4" s="7" t="s">
        <v>47</v>
      </c>
      <c r="G4" s="7" t="s">
        <v>48</v>
      </c>
      <c r="H4" s="7" t="s">
        <v>49</v>
      </c>
      <c r="I4" s="7" t="s">
        <v>28</v>
      </c>
      <c r="J4" s="7" t="s">
        <v>40</v>
      </c>
      <c r="K4" s="7" t="s">
        <v>41</v>
      </c>
      <c r="L4" s="7" t="s">
        <v>42</v>
      </c>
      <c r="M4" s="7" t="s">
        <v>50</v>
      </c>
      <c r="N4" s="9" t="s">
        <v>32</v>
      </c>
      <c r="O4" s="9" t="s">
        <v>51</v>
      </c>
      <c r="P4" s="9" t="s">
        <v>34</v>
      </c>
      <c r="Q4" s="10" t="str">
        <f>IF(IDMaster[[#This Row],[Consumption]]="Consumption",IDMaster[[#This Row],[Consumption]],IDMaster[[#This Row],[Basis]])</f>
        <v>Revenue</v>
      </c>
      <c r="R4" s="7" t="str">
        <f>IDMaster[[#This Row],[Supported Group]]&amp;"."&amp;IDMaster[[#This Row],[Basis]]</f>
        <v>IT Infrastructure.Revenue</v>
      </c>
      <c r="S4" s="11">
        <v>0.42185161428265983</v>
      </c>
      <c r="T4" s="12">
        <v>0.57814838571734017</v>
      </c>
      <c r="U4" s="12">
        <v>0</v>
      </c>
      <c r="V4" s="12">
        <v>0</v>
      </c>
      <c r="W4" s="12">
        <v>0</v>
      </c>
    </row>
    <row r="5" spans="1:33" x14ac:dyDescent="0.35">
      <c r="A5" s="7" t="s">
        <v>23</v>
      </c>
      <c r="B5" s="7" t="s">
        <v>52</v>
      </c>
      <c r="C5" s="7" t="s">
        <v>25</v>
      </c>
      <c r="D5" s="8"/>
      <c r="E5" s="7" t="s">
        <v>53</v>
      </c>
      <c r="F5" s="13" t="s">
        <v>54</v>
      </c>
      <c r="G5" s="7" t="s">
        <v>55</v>
      </c>
      <c r="H5" s="7" t="s">
        <v>49</v>
      </c>
      <c r="I5" s="7" t="s">
        <v>28</v>
      </c>
      <c r="J5" s="7" t="s">
        <v>40</v>
      </c>
      <c r="K5" s="7" t="s">
        <v>41</v>
      </c>
      <c r="L5" s="7" t="s">
        <v>42</v>
      </c>
      <c r="M5" s="7" t="s">
        <v>56</v>
      </c>
      <c r="N5" s="9" t="s">
        <v>32</v>
      </c>
      <c r="O5" s="9" t="s">
        <v>33</v>
      </c>
      <c r="P5" s="9" t="s">
        <v>34</v>
      </c>
      <c r="Q5" s="10" t="str">
        <f>IF(IDMaster[[#This Row],[Consumption]]="Consumption",IDMaster[[#This Row],[Consumption]],IDMaster[[#This Row],[Basis]])</f>
        <v>Revenue</v>
      </c>
      <c r="R5" s="7" t="str">
        <f>IDMaster[[#This Row],[Supported Group]]&amp;"."&amp;IDMaster[[#This Row],[Basis]]</f>
        <v>IT Tools.Revenue</v>
      </c>
      <c r="S5" s="11">
        <v>0.42185161428265983</v>
      </c>
      <c r="T5" s="12">
        <v>0.57814838571734017</v>
      </c>
      <c r="U5" s="12">
        <v>0</v>
      </c>
      <c r="V5" s="12">
        <v>0</v>
      </c>
      <c r="W5" s="12">
        <v>0</v>
      </c>
    </row>
    <row r="6" spans="1:33" x14ac:dyDescent="0.35">
      <c r="A6" s="7" t="s">
        <v>23</v>
      </c>
      <c r="B6" s="7" t="s">
        <v>57</v>
      </c>
      <c r="C6" s="7" t="s">
        <v>25</v>
      </c>
      <c r="D6" s="8"/>
      <c r="E6" s="7" t="s">
        <v>46</v>
      </c>
      <c r="F6" s="13" t="s">
        <v>58</v>
      </c>
      <c r="G6" s="7" t="s">
        <v>48</v>
      </c>
      <c r="H6" s="7" t="s">
        <v>49</v>
      </c>
      <c r="I6" s="7" t="s">
        <v>28</v>
      </c>
      <c r="J6" s="7" t="s">
        <v>40</v>
      </c>
      <c r="K6" s="7" t="s">
        <v>41</v>
      </c>
      <c r="L6" s="7" t="s">
        <v>42</v>
      </c>
      <c r="M6" s="7" t="s">
        <v>58</v>
      </c>
      <c r="N6" s="9" t="s">
        <v>32</v>
      </c>
      <c r="O6" s="9" t="s">
        <v>33</v>
      </c>
      <c r="P6" s="9" t="s">
        <v>34</v>
      </c>
      <c r="Q6" s="10" t="str">
        <f>IF(IDMaster[[#This Row],[Consumption]]="Consumption",IDMaster[[#This Row],[Consumption]],IDMaster[[#This Row],[Basis]])</f>
        <v>Revenue</v>
      </c>
      <c r="R6" s="7" t="str">
        <f>IDMaster[[#This Row],[Supported Group]]&amp;"."&amp;IDMaster[[#This Row],[Basis]]</f>
        <v>IT Tools.Revenue</v>
      </c>
      <c r="S6" s="11">
        <v>0.42185161428265983</v>
      </c>
      <c r="T6" s="12">
        <v>0.57814838571734017</v>
      </c>
      <c r="U6" s="12">
        <v>0</v>
      </c>
      <c r="V6" s="12">
        <v>0</v>
      </c>
      <c r="W6" s="12">
        <v>0</v>
      </c>
    </row>
    <row r="7" spans="1:33" x14ac:dyDescent="0.35">
      <c r="A7" s="7" t="s">
        <v>23</v>
      </c>
      <c r="B7" s="7" t="s">
        <v>59</v>
      </c>
      <c r="C7" s="7" t="s">
        <v>60</v>
      </c>
      <c r="D7" s="8"/>
      <c r="E7" s="16" t="s">
        <v>46</v>
      </c>
      <c r="F7" s="7" t="s">
        <v>61</v>
      </c>
      <c r="G7" s="7" t="s">
        <v>48</v>
      </c>
      <c r="H7" s="7" t="s">
        <v>27</v>
      </c>
      <c r="I7" s="7" t="s">
        <v>28</v>
      </c>
      <c r="J7" s="7" t="s">
        <v>62</v>
      </c>
      <c r="K7" s="7" t="s">
        <v>63</v>
      </c>
      <c r="L7" s="7" t="s">
        <v>30</v>
      </c>
      <c r="M7" s="7" t="s">
        <v>61</v>
      </c>
      <c r="N7" s="9" t="s">
        <v>32</v>
      </c>
      <c r="O7" s="9" t="s">
        <v>64</v>
      </c>
      <c r="P7" s="9" t="s">
        <v>34</v>
      </c>
      <c r="Q7" s="10" t="str">
        <f>IF(IDMaster[[#This Row],[Consumption]]="Consumption",IDMaster[[#This Row],[Consumption]],IDMaster[[#This Row],[Basis]])</f>
        <v>Revenue</v>
      </c>
      <c r="R7" s="7" t="str">
        <f>IDMaster[[#This Row],[Supported Group]]&amp;"."&amp;IDMaster[[#This Row],[Basis]]</f>
        <v>Support.Revenue</v>
      </c>
      <c r="S7" s="11">
        <v>0.42185161428265983</v>
      </c>
      <c r="T7" s="12">
        <v>0.57814838571734017</v>
      </c>
      <c r="U7" s="12">
        <v>0</v>
      </c>
      <c r="V7" s="12">
        <v>0</v>
      </c>
      <c r="W7" s="12">
        <v>0</v>
      </c>
    </row>
    <row r="8" spans="1:33" x14ac:dyDescent="0.35">
      <c r="A8" s="7" t="s">
        <v>23</v>
      </c>
      <c r="B8" s="7" t="s">
        <v>65</v>
      </c>
      <c r="C8" s="7" t="s">
        <v>25</v>
      </c>
      <c r="D8" s="8"/>
      <c r="E8" s="16" t="s">
        <v>53</v>
      </c>
      <c r="F8" s="7" t="s">
        <v>66</v>
      </c>
      <c r="G8" s="7" t="s">
        <v>55</v>
      </c>
      <c r="H8" s="7" t="s">
        <v>49</v>
      </c>
      <c r="I8" s="7" t="s">
        <v>28</v>
      </c>
      <c r="J8" s="7" t="s">
        <v>40</v>
      </c>
      <c r="K8" s="7" t="s">
        <v>41</v>
      </c>
      <c r="L8" s="7" t="s">
        <v>42</v>
      </c>
      <c r="M8" s="7" t="s">
        <v>43</v>
      </c>
      <c r="N8" s="9" t="s">
        <v>32</v>
      </c>
      <c r="O8" s="9" t="s">
        <v>67</v>
      </c>
      <c r="P8" s="9" t="s">
        <v>34</v>
      </c>
      <c r="Q8" s="10" t="str">
        <f>IF(IDMaster[[#This Row],[Consumption]]="Consumption",IDMaster[[#This Row],[Consumption]],IDMaster[[#This Row],[Basis]])</f>
        <v>Revenue</v>
      </c>
      <c r="R8" s="7" t="str">
        <f>IDMaster[[#This Row],[Supported Group]]&amp;"."&amp;IDMaster[[#This Row],[Basis]]</f>
        <v>IT Corporate.Revenue</v>
      </c>
      <c r="S8" s="11">
        <v>0.42185161428265983</v>
      </c>
      <c r="T8" s="12">
        <v>0.57814838571734017</v>
      </c>
      <c r="U8" s="12">
        <v>0</v>
      </c>
      <c r="V8" s="12">
        <v>0</v>
      </c>
      <c r="W8" s="12">
        <v>0</v>
      </c>
    </row>
    <row r="9" spans="1:33" x14ac:dyDescent="0.35">
      <c r="A9" s="7" t="s">
        <v>23</v>
      </c>
      <c r="B9" s="7" t="s">
        <v>68</v>
      </c>
      <c r="C9" s="7" t="s">
        <v>69</v>
      </c>
      <c r="D9" s="8"/>
      <c r="E9" s="16" t="s">
        <v>70</v>
      </c>
      <c r="F9" s="7" t="s">
        <v>71</v>
      </c>
      <c r="G9" s="7" t="s">
        <v>72</v>
      </c>
      <c r="H9" s="7" t="s">
        <v>27</v>
      </c>
      <c r="I9" s="7" t="s">
        <v>28</v>
      </c>
      <c r="J9" s="7" t="s">
        <v>73</v>
      </c>
      <c r="K9" s="7" t="s">
        <v>74</v>
      </c>
      <c r="L9" s="7" t="s">
        <v>75</v>
      </c>
      <c r="M9" s="7" t="s">
        <v>76</v>
      </c>
      <c r="N9" s="9" t="s">
        <v>32</v>
      </c>
      <c r="O9" s="9" t="s">
        <v>67</v>
      </c>
      <c r="P9" s="9" t="s">
        <v>34</v>
      </c>
      <c r="Q9" s="10" t="str">
        <f>IF(IDMaster[[#This Row],[Consumption]]="Consumption",IDMaster[[#This Row],[Consumption]],IDMaster[[#This Row],[Basis]])</f>
        <v>Revenue</v>
      </c>
      <c r="R9" s="7" t="str">
        <f>IDMaster[[#This Row],[Supported Group]]&amp;"."&amp;IDMaster[[#This Row],[Basis]]</f>
        <v>IT Corporate.Revenue</v>
      </c>
      <c r="S9" s="11">
        <v>0.42185161428265983</v>
      </c>
      <c r="T9" s="12">
        <v>0.57814838571734017</v>
      </c>
      <c r="U9" s="12">
        <v>0</v>
      </c>
      <c r="V9" s="12">
        <v>0</v>
      </c>
      <c r="W9" s="12">
        <v>0</v>
      </c>
    </row>
    <row r="10" spans="1:33" x14ac:dyDescent="0.35">
      <c r="A10" s="7" t="s">
        <v>23</v>
      </c>
      <c r="B10" s="7" t="s">
        <v>77</v>
      </c>
      <c r="C10" s="7" t="s">
        <v>78</v>
      </c>
      <c r="D10" s="8"/>
      <c r="E10" s="16" t="s">
        <v>46</v>
      </c>
      <c r="F10" s="13" t="s">
        <v>79</v>
      </c>
      <c r="G10" s="7" t="s">
        <v>48</v>
      </c>
      <c r="H10" s="7" t="s">
        <v>49</v>
      </c>
      <c r="I10" s="7" t="s">
        <v>28</v>
      </c>
      <c r="J10" s="7" t="s">
        <v>40</v>
      </c>
      <c r="K10" s="7" t="s">
        <v>80</v>
      </c>
      <c r="L10" s="7" t="s">
        <v>42</v>
      </c>
      <c r="M10" s="7" t="s">
        <v>79</v>
      </c>
      <c r="N10" s="9" t="s">
        <v>32</v>
      </c>
      <c r="O10" s="9" t="s">
        <v>81</v>
      </c>
      <c r="P10" s="9" t="s">
        <v>34</v>
      </c>
      <c r="Q10" s="10" t="str">
        <f>IF(IDMaster[[#This Row],[Consumption]]="Consumption",IDMaster[[#This Row],[Consumption]],IDMaster[[#This Row],[Basis]])</f>
        <v>Revenue</v>
      </c>
      <c r="R10" s="7" t="str">
        <f>IDMaster[[#This Row],[Supported Group]]&amp;"."&amp;IDMaster[[#This Row],[Basis]]</f>
        <v>Data.Revenue</v>
      </c>
      <c r="S10" s="11">
        <v>0.42185161428265983</v>
      </c>
      <c r="T10" s="12">
        <v>0.57814838571734017</v>
      </c>
      <c r="U10" s="12">
        <v>0</v>
      </c>
      <c r="V10" s="12">
        <v>0</v>
      </c>
      <c r="W10" s="12">
        <v>0</v>
      </c>
    </row>
    <row r="11" spans="1:33" x14ac:dyDescent="0.35">
      <c r="A11" s="7" t="s">
        <v>23</v>
      </c>
      <c r="B11" s="7" t="s">
        <v>82</v>
      </c>
      <c r="C11" s="7" t="s">
        <v>83</v>
      </c>
      <c r="D11" s="8">
        <v>274453</v>
      </c>
      <c r="E11" s="16" t="s">
        <v>46</v>
      </c>
      <c r="F11" s="13" t="s">
        <v>79</v>
      </c>
      <c r="G11" s="7" t="s">
        <v>48</v>
      </c>
      <c r="H11" s="7" t="s">
        <v>27</v>
      </c>
      <c r="I11" s="7" t="s">
        <v>28</v>
      </c>
      <c r="J11" s="7" t="s">
        <v>50</v>
      </c>
      <c r="K11" s="7" t="s">
        <v>84</v>
      </c>
      <c r="L11" s="7" t="s">
        <v>85</v>
      </c>
      <c r="M11" s="7" t="s">
        <v>50</v>
      </c>
      <c r="N11" s="9" t="s">
        <v>32</v>
      </c>
      <c r="O11" s="9" t="s">
        <v>51</v>
      </c>
      <c r="P11" s="9" t="s">
        <v>34</v>
      </c>
      <c r="Q11" s="10" t="str">
        <f>IF(IDMaster[[#This Row],[Consumption]]="Consumption",IDMaster[[#This Row],[Consumption]],IDMaster[[#This Row],[Basis]])</f>
        <v>Revenue</v>
      </c>
      <c r="R11" s="7" t="str">
        <f>IDMaster[[#This Row],[Supported Group]]&amp;"."&amp;IDMaster[[#This Row],[Basis]]</f>
        <v>IT Infrastructure.Revenue</v>
      </c>
      <c r="S11" s="11">
        <v>0.42185161428265983</v>
      </c>
      <c r="T11" s="12">
        <v>0.57814838571734017</v>
      </c>
      <c r="U11" s="12">
        <v>0</v>
      </c>
      <c r="V11" s="12">
        <v>0</v>
      </c>
      <c r="W11" s="12">
        <v>0</v>
      </c>
    </row>
    <row r="12" spans="1:33" x14ac:dyDescent="0.35">
      <c r="A12" s="7" t="s">
        <v>23</v>
      </c>
      <c r="B12" s="7" t="s">
        <v>86</v>
      </c>
      <c r="C12" s="7" t="s">
        <v>25</v>
      </c>
      <c r="D12" s="8"/>
      <c r="E12" s="16" t="s">
        <v>53</v>
      </c>
      <c r="F12" s="7" t="s">
        <v>87</v>
      </c>
      <c r="G12" s="7" t="s">
        <v>55</v>
      </c>
      <c r="H12" s="7" t="s">
        <v>49</v>
      </c>
      <c r="I12" s="7" t="s">
        <v>28</v>
      </c>
      <c r="J12" s="7" t="s">
        <v>40</v>
      </c>
      <c r="K12" s="7" t="s">
        <v>41</v>
      </c>
      <c r="L12" s="7" t="s">
        <v>42</v>
      </c>
      <c r="M12" s="7" t="s">
        <v>43</v>
      </c>
      <c r="N12" s="9" t="s">
        <v>32</v>
      </c>
      <c r="O12" s="9" t="s">
        <v>67</v>
      </c>
      <c r="P12" s="9" t="s">
        <v>34</v>
      </c>
      <c r="Q12" s="10" t="str">
        <f>IF(IDMaster[[#This Row],[Consumption]]="Consumption",IDMaster[[#This Row],[Consumption]],IDMaster[[#This Row],[Basis]])</f>
        <v>Revenue</v>
      </c>
      <c r="R12" s="7" t="str">
        <f>IDMaster[[#This Row],[Supported Group]]&amp;"."&amp;IDMaster[[#This Row],[Basis]]</f>
        <v>IT Corporate.Revenue</v>
      </c>
      <c r="S12" s="11">
        <v>0.42185161428265983</v>
      </c>
      <c r="T12" s="12">
        <v>0.57814838571734017</v>
      </c>
      <c r="U12" s="12">
        <v>0</v>
      </c>
      <c r="V12" s="12">
        <v>0</v>
      </c>
      <c r="W12" s="12">
        <v>0</v>
      </c>
    </row>
    <row r="13" spans="1:33" x14ac:dyDescent="0.35">
      <c r="A13" s="7" t="s">
        <v>23</v>
      </c>
      <c r="B13" s="7" t="s">
        <v>88</v>
      </c>
      <c r="C13" s="7" t="s">
        <v>89</v>
      </c>
      <c r="D13" s="8">
        <v>251595</v>
      </c>
      <c r="E13" s="16" t="s">
        <v>46</v>
      </c>
      <c r="F13" s="7" t="s">
        <v>90</v>
      </c>
      <c r="G13" s="7" t="s">
        <v>48</v>
      </c>
      <c r="H13" s="7" t="s">
        <v>49</v>
      </c>
      <c r="I13" s="7" t="s">
        <v>28</v>
      </c>
      <c r="J13" s="7" t="s">
        <v>40</v>
      </c>
      <c r="K13" s="7" t="s">
        <v>41</v>
      </c>
      <c r="L13" s="7" t="s">
        <v>42</v>
      </c>
      <c r="M13" s="7" t="s">
        <v>91</v>
      </c>
      <c r="N13" s="9" t="s">
        <v>92</v>
      </c>
      <c r="O13" s="9" t="s">
        <v>33</v>
      </c>
      <c r="P13" s="9" t="s">
        <v>34</v>
      </c>
      <c r="Q13" s="10" t="str">
        <f>IF(IDMaster[[#This Row],[Consumption]]="Consumption",IDMaster[[#This Row],[Consumption]],IDMaster[[#This Row],[Basis]])</f>
        <v>Total Headcount</v>
      </c>
      <c r="R13" s="7" t="str">
        <f>IDMaster[[#This Row],[Supported Group]]&amp;"."&amp;IDMaster[[#This Row],[Basis]]</f>
        <v>IT Tools.Total Headcount</v>
      </c>
      <c r="S13" s="11">
        <v>0.69106036166058238</v>
      </c>
      <c r="T13" s="12">
        <v>0.14347567705238135</v>
      </c>
      <c r="U13" s="12">
        <v>0</v>
      </c>
      <c r="V13" s="12">
        <v>0</v>
      </c>
      <c r="W13" s="12">
        <v>0.16546396128703625</v>
      </c>
    </row>
    <row r="14" spans="1:33" x14ac:dyDescent="0.35">
      <c r="A14" s="7" t="s">
        <v>23</v>
      </c>
      <c r="B14" s="7" t="s">
        <v>93</v>
      </c>
      <c r="C14" s="7" t="s">
        <v>94</v>
      </c>
      <c r="D14" s="8">
        <v>227047</v>
      </c>
      <c r="E14" s="16" t="s">
        <v>95</v>
      </c>
      <c r="F14" s="7" t="s">
        <v>96</v>
      </c>
      <c r="G14" s="7" t="s">
        <v>97</v>
      </c>
      <c r="H14" s="7" t="s">
        <v>49</v>
      </c>
      <c r="I14" s="7" t="s">
        <v>28</v>
      </c>
      <c r="J14" s="7" t="s">
        <v>40</v>
      </c>
      <c r="K14" s="7" t="s">
        <v>41</v>
      </c>
      <c r="L14" s="7" t="s">
        <v>42</v>
      </c>
      <c r="M14" s="7" t="s">
        <v>98</v>
      </c>
      <c r="N14" s="9" t="s">
        <v>32</v>
      </c>
      <c r="O14" s="9" t="s">
        <v>99</v>
      </c>
      <c r="P14" s="9" t="s">
        <v>34</v>
      </c>
      <c r="Q14" s="10" t="str">
        <f>IF(IDMaster[[#This Row],[Consumption]]="Consumption",IDMaster[[#This Row],[Consumption]],IDMaster[[#This Row],[Basis]])</f>
        <v>Revenue</v>
      </c>
      <c r="R14" s="7" t="str">
        <f>IDMaster[[#This Row],[Supported Group]]&amp;"."&amp;IDMaster[[#This Row],[Basis]]</f>
        <v>Security.Revenue</v>
      </c>
      <c r="S14" s="11">
        <v>0.42185161428265983</v>
      </c>
      <c r="T14" s="12">
        <v>0.57814838571734017</v>
      </c>
      <c r="U14" s="12">
        <v>0</v>
      </c>
      <c r="V14" s="12">
        <v>0</v>
      </c>
      <c r="W14" s="12">
        <v>0</v>
      </c>
    </row>
    <row r="15" spans="1:33" x14ac:dyDescent="0.35">
      <c r="A15" s="7" t="s">
        <v>23</v>
      </c>
      <c r="B15" s="7" t="s">
        <v>100</v>
      </c>
      <c r="C15" s="7" t="s">
        <v>25</v>
      </c>
      <c r="D15" s="8"/>
      <c r="E15" s="16" t="s">
        <v>101</v>
      </c>
      <c r="F15" s="7" t="s">
        <v>102</v>
      </c>
      <c r="G15" s="7" t="s">
        <v>103</v>
      </c>
      <c r="H15" s="7" t="s">
        <v>49</v>
      </c>
      <c r="I15" s="7" t="s">
        <v>28</v>
      </c>
      <c r="J15" s="7" t="s">
        <v>40</v>
      </c>
      <c r="K15" s="7" t="s">
        <v>80</v>
      </c>
      <c r="L15" s="7" t="s">
        <v>42</v>
      </c>
      <c r="M15" s="7" t="s">
        <v>102</v>
      </c>
      <c r="N15" s="9" t="s">
        <v>32</v>
      </c>
      <c r="O15" s="9" t="s">
        <v>81</v>
      </c>
      <c r="P15" s="9" t="s">
        <v>34</v>
      </c>
      <c r="Q15" s="10" t="str">
        <f>IF(IDMaster[[#This Row],[Consumption]]="Consumption",IDMaster[[#This Row],[Consumption]],IDMaster[[#This Row],[Basis]])</f>
        <v>Revenue</v>
      </c>
      <c r="R15" s="7" t="str">
        <f>IDMaster[[#This Row],[Supported Group]]&amp;"."&amp;IDMaster[[#This Row],[Basis]]</f>
        <v>Data.Revenue</v>
      </c>
      <c r="S15" s="11">
        <v>0.42185161428265983</v>
      </c>
      <c r="T15" s="12">
        <v>0.57814838571734017</v>
      </c>
      <c r="U15" s="12">
        <v>0</v>
      </c>
      <c r="V15" s="12">
        <v>0</v>
      </c>
      <c r="W15" s="12">
        <v>0</v>
      </c>
    </row>
    <row r="16" spans="1:33" x14ac:dyDescent="0.35">
      <c r="A16" s="7" t="s">
        <v>23</v>
      </c>
      <c r="B16" s="7" t="s">
        <v>104</v>
      </c>
      <c r="C16" s="7" t="s">
        <v>25</v>
      </c>
      <c r="D16" s="8"/>
      <c r="E16" s="16" t="s">
        <v>46</v>
      </c>
      <c r="F16" s="7" t="s">
        <v>105</v>
      </c>
      <c r="G16" s="7" t="s">
        <v>48</v>
      </c>
      <c r="H16" s="7" t="s">
        <v>49</v>
      </c>
      <c r="I16" s="7" t="s">
        <v>28</v>
      </c>
      <c r="J16" s="7" t="s">
        <v>40</v>
      </c>
      <c r="K16" s="7" t="s">
        <v>41</v>
      </c>
      <c r="L16" s="7" t="s">
        <v>42</v>
      </c>
      <c r="M16" s="7" t="s">
        <v>106</v>
      </c>
      <c r="N16" s="9" t="s">
        <v>32</v>
      </c>
      <c r="O16" s="9" t="s">
        <v>51</v>
      </c>
      <c r="P16" s="9" t="s">
        <v>34</v>
      </c>
      <c r="Q16" s="10" t="str">
        <f>IF(IDMaster[[#This Row],[Consumption]]="Consumption",IDMaster[[#This Row],[Consumption]],IDMaster[[#This Row],[Basis]])</f>
        <v>Revenue</v>
      </c>
      <c r="R16" s="7" t="str">
        <f>IDMaster[[#This Row],[Supported Group]]&amp;"."&amp;IDMaster[[#This Row],[Basis]]</f>
        <v>IT Infrastructure.Revenue</v>
      </c>
      <c r="S16" s="11">
        <v>0.42185161428265983</v>
      </c>
      <c r="T16" s="12">
        <v>0.57814838571734017</v>
      </c>
      <c r="U16" s="12">
        <v>0</v>
      </c>
      <c r="V16" s="12">
        <v>0</v>
      </c>
      <c r="W16" s="12">
        <v>0</v>
      </c>
    </row>
    <row r="17" spans="1:23" x14ac:dyDescent="0.35">
      <c r="A17" s="7" t="s">
        <v>23</v>
      </c>
      <c r="B17" s="7" t="s">
        <v>107</v>
      </c>
      <c r="C17" s="7" t="s">
        <v>108</v>
      </c>
      <c r="D17" s="8">
        <v>266580</v>
      </c>
      <c r="E17" s="16" t="s">
        <v>95</v>
      </c>
      <c r="F17" s="7" t="s">
        <v>109</v>
      </c>
      <c r="G17" s="7" t="s">
        <v>97</v>
      </c>
      <c r="H17" s="7" t="s">
        <v>49</v>
      </c>
      <c r="I17" s="7" t="s">
        <v>28</v>
      </c>
      <c r="J17" s="7" t="s">
        <v>40</v>
      </c>
      <c r="K17" s="7" t="s">
        <v>41</v>
      </c>
      <c r="L17" s="7" t="s">
        <v>42</v>
      </c>
      <c r="M17" s="7" t="s">
        <v>110</v>
      </c>
      <c r="N17" s="9" t="s">
        <v>32</v>
      </c>
      <c r="O17" s="9" t="s">
        <v>99</v>
      </c>
      <c r="P17" s="9" t="s">
        <v>34</v>
      </c>
      <c r="Q17" s="10" t="str">
        <f>IF(IDMaster[[#This Row],[Consumption]]="Consumption",IDMaster[[#This Row],[Consumption]],IDMaster[[#This Row],[Basis]])</f>
        <v>Revenue</v>
      </c>
      <c r="R17" s="7" t="str">
        <f>IDMaster[[#This Row],[Supported Group]]&amp;"."&amp;IDMaster[[#This Row],[Basis]]</f>
        <v>Security.Revenue</v>
      </c>
      <c r="S17" s="11">
        <v>0.42185161428265983</v>
      </c>
      <c r="T17" s="12">
        <v>0.57814838571734017</v>
      </c>
      <c r="U17" s="12">
        <v>0</v>
      </c>
      <c r="V17" s="12">
        <v>0</v>
      </c>
      <c r="W17" s="12">
        <v>0</v>
      </c>
    </row>
    <row r="18" spans="1:23" x14ac:dyDescent="0.35">
      <c r="A18" s="7" t="s">
        <v>23</v>
      </c>
      <c r="B18" s="7" t="s">
        <v>111</v>
      </c>
      <c r="C18" s="7" t="s">
        <v>25</v>
      </c>
      <c r="D18" s="8"/>
      <c r="E18" s="16" t="s">
        <v>46</v>
      </c>
      <c r="F18" s="7" t="s">
        <v>112</v>
      </c>
      <c r="G18" s="7" t="s">
        <v>48</v>
      </c>
      <c r="H18" s="7" t="s">
        <v>49</v>
      </c>
      <c r="I18" s="7" t="s">
        <v>28</v>
      </c>
      <c r="J18" s="7" t="s">
        <v>40</v>
      </c>
      <c r="K18" s="7" t="s">
        <v>41</v>
      </c>
      <c r="L18" s="7" t="s">
        <v>42</v>
      </c>
      <c r="M18" s="7" t="s">
        <v>112</v>
      </c>
      <c r="N18" s="9" t="s">
        <v>32</v>
      </c>
      <c r="O18" s="9" t="s">
        <v>51</v>
      </c>
      <c r="P18" s="9" t="s">
        <v>34</v>
      </c>
      <c r="Q18" s="10" t="str">
        <f>IF(IDMaster[[#This Row],[Consumption]]="Consumption",IDMaster[[#This Row],[Consumption]],IDMaster[[#This Row],[Basis]])</f>
        <v>Revenue</v>
      </c>
      <c r="R18" s="7" t="str">
        <f>IDMaster[[#This Row],[Supported Group]]&amp;"."&amp;IDMaster[[#This Row],[Basis]]</f>
        <v>IT Infrastructure.Revenue</v>
      </c>
      <c r="S18" s="11">
        <v>0.42185161428265983</v>
      </c>
      <c r="T18" s="12">
        <v>0.57814838571734017</v>
      </c>
      <c r="U18" s="12">
        <v>0</v>
      </c>
      <c r="V18" s="12">
        <v>0</v>
      </c>
      <c r="W18" s="12">
        <v>0</v>
      </c>
    </row>
    <row r="19" spans="1:23" x14ac:dyDescent="0.35">
      <c r="A19" s="7" t="s">
        <v>23</v>
      </c>
      <c r="B19" s="7" t="s">
        <v>113</v>
      </c>
      <c r="C19" s="7" t="s">
        <v>25</v>
      </c>
      <c r="D19" s="8"/>
      <c r="E19" s="16" t="s">
        <v>46</v>
      </c>
      <c r="F19" s="7" t="s">
        <v>114</v>
      </c>
      <c r="G19" s="7" t="s">
        <v>48</v>
      </c>
      <c r="H19" s="7" t="s">
        <v>49</v>
      </c>
      <c r="I19" s="7" t="s">
        <v>28</v>
      </c>
      <c r="J19" s="7" t="s">
        <v>40</v>
      </c>
      <c r="K19" s="7" t="s">
        <v>41</v>
      </c>
      <c r="L19" s="7" t="s">
        <v>42</v>
      </c>
      <c r="M19" s="7" t="s">
        <v>114</v>
      </c>
      <c r="N19" s="9" t="s">
        <v>32</v>
      </c>
      <c r="O19" s="9" t="s">
        <v>51</v>
      </c>
      <c r="P19" s="9" t="s">
        <v>34</v>
      </c>
      <c r="Q19" s="10" t="str">
        <f>IF(IDMaster[[#This Row],[Consumption]]="Consumption",IDMaster[[#This Row],[Consumption]],IDMaster[[#This Row],[Basis]])</f>
        <v>Revenue</v>
      </c>
      <c r="R19" s="7" t="str">
        <f>IDMaster[[#This Row],[Supported Group]]&amp;"."&amp;IDMaster[[#This Row],[Basis]]</f>
        <v>IT Infrastructure.Revenue</v>
      </c>
      <c r="S19" s="11">
        <v>0.42185161428265983</v>
      </c>
      <c r="T19" s="12">
        <v>0.57814838571734017</v>
      </c>
      <c r="U19" s="12">
        <v>0</v>
      </c>
      <c r="V19" s="12">
        <v>0</v>
      </c>
      <c r="W19" s="12">
        <v>0</v>
      </c>
    </row>
    <row r="20" spans="1:23" x14ac:dyDescent="0.35">
      <c r="A20" s="7" t="s">
        <v>23</v>
      </c>
      <c r="B20" s="7" t="s">
        <v>115</v>
      </c>
      <c r="C20" s="7" t="s">
        <v>116</v>
      </c>
      <c r="D20" s="8">
        <v>250849</v>
      </c>
      <c r="E20" s="16" t="s">
        <v>117</v>
      </c>
      <c r="F20" s="7" t="s">
        <v>118</v>
      </c>
      <c r="G20" s="7" t="s">
        <v>72</v>
      </c>
      <c r="H20" s="7" t="s">
        <v>27</v>
      </c>
      <c r="I20" s="7" t="s">
        <v>28</v>
      </c>
      <c r="J20" s="7" t="s">
        <v>40</v>
      </c>
      <c r="K20" s="7" t="s">
        <v>41</v>
      </c>
      <c r="L20" s="7" t="s">
        <v>42</v>
      </c>
      <c r="M20" s="7" t="s">
        <v>119</v>
      </c>
      <c r="N20" s="9" t="s">
        <v>32</v>
      </c>
      <c r="O20" s="9" t="s">
        <v>81</v>
      </c>
      <c r="P20" s="9" t="s">
        <v>34</v>
      </c>
      <c r="Q20" s="10" t="str">
        <f>IF(IDMaster[[#This Row],[Consumption]]="Consumption",IDMaster[[#This Row],[Consumption]],IDMaster[[#This Row],[Basis]])</f>
        <v>Revenue</v>
      </c>
      <c r="R20" s="7" t="str">
        <f>IDMaster[[#This Row],[Supported Group]]&amp;"."&amp;IDMaster[[#This Row],[Basis]]</f>
        <v>Data.Revenue</v>
      </c>
      <c r="S20" s="11">
        <v>0.42185161428265983</v>
      </c>
      <c r="T20" s="12">
        <v>0.57814838571734017</v>
      </c>
      <c r="U20" s="12">
        <v>0</v>
      </c>
      <c r="V20" s="12">
        <v>0</v>
      </c>
      <c r="W20" s="12">
        <v>0</v>
      </c>
    </row>
    <row r="21" spans="1:23" x14ac:dyDescent="0.35">
      <c r="A21" s="7" t="s">
        <v>23</v>
      </c>
      <c r="B21" s="7" t="s">
        <v>120</v>
      </c>
      <c r="C21" s="7" t="s">
        <v>121</v>
      </c>
      <c r="D21" s="8">
        <v>260532</v>
      </c>
      <c r="E21" s="16" t="s">
        <v>46</v>
      </c>
      <c r="F21" s="7" t="s">
        <v>122</v>
      </c>
      <c r="G21" s="7" t="s">
        <v>48</v>
      </c>
      <c r="H21" s="7" t="s">
        <v>49</v>
      </c>
      <c r="I21" s="7" t="s">
        <v>123</v>
      </c>
      <c r="J21" s="7" t="s">
        <v>124</v>
      </c>
      <c r="K21" s="7" t="s">
        <v>41</v>
      </c>
      <c r="L21" s="7" t="s">
        <v>42</v>
      </c>
      <c r="M21" s="7" t="s">
        <v>125</v>
      </c>
      <c r="N21" s="9" t="s">
        <v>126</v>
      </c>
      <c r="O21" s="9" t="s">
        <v>51</v>
      </c>
      <c r="P21" s="9" t="s">
        <v>34</v>
      </c>
      <c r="Q21" s="10" t="str">
        <f>IF(IDMaster[[#This Row],[Consumption]]="Consumption",IDMaster[[#This Row],[Consumption]],IDMaster[[#This Row],[Basis]])</f>
        <v>RAC Direct</v>
      </c>
      <c r="R21" s="7" t="str">
        <f>IDMaster[[#This Row],[Supported Group]]&amp;"."&amp;IDMaster[[#This Row],[Basis]]</f>
        <v>IT Infrastructure.RAC Direct</v>
      </c>
      <c r="S21" s="11">
        <v>1</v>
      </c>
      <c r="T21" s="12">
        <v>0</v>
      </c>
      <c r="U21" s="12">
        <v>0</v>
      </c>
      <c r="V21" s="12">
        <v>0</v>
      </c>
      <c r="W21" s="12">
        <v>0</v>
      </c>
    </row>
    <row r="22" spans="1:23" x14ac:dyDescent="0.35">
      <c r="A22" s="7" t="s">
        <v>23</v>
      </c>
      <c r="B22" s="7" t="s">
        <v>127</v>
      </c>
      <c r="C22" s="7" t="s">
        <v>121</v>
      </c>
      <c r="D22" s="8">
        <v>260532</v>
      </c>
      <c r="E22" s="16" t="s">
        <v>46</v>
      </c>
      <c r="F22" s="7" t="s">
        <v>128</v>
      </c>
      <c r="G22" s="7" t="s">
        <v>48</v>
      </c>
      <c r="H22" s="7" t="s">
        <v>49</v>
      </c>
      <c r="I22" s="7" t="s">
        <v>123</v>
      </c>
      <c r="J22" s="7" t="s">
        <v>124</v>
      </c>
      <c r="K22" s="7" t="s">
        <v>41</v>
      </c>
      <c r="L22" s="7" t="s">
        <v>42</v>
      </c>
      <c r="M22" s="7" t="s">
        <v>129</v>
      </c>
      <c r="N22" s="9" t="s">
        <v>126</v>
      </c>
      <c r="O22" s="9" t="s">
        <v>51</v>
      </c>
      <c r="P22" s="9" t="s">
        <v>34</v>
      </c>
      <c r="Q22" s="10" t="str">
        <f>IF(IDMaster[[#This Row],[Consumption]]="Consumption",IDMaster[[#This Row],[Consumption]],IDMaster[[#This Row],[Basis]])</f>
        <v>RAC Direct</v>
      </c>
      <c r="R22" s="7" t="str">
        <f>IDMaster[[#This Row],[Supported Group]]&amp;"."&amp;IDMaster[[#This Row],[Basis]]</f>
        <v>IT Infrastructure.RAC Direct</v>
      </c>
      <c r="S22" s="11">
        <v>1</v>
      </c>
      <c r="T22" s="12">
        <v>0</v>
      </c>
      <c r="U22" s="12">
        <v>0</v>
      </c>
      <c r="V22" s="12">
        <v>0</v>
      </c>
      <c r="W22" s="12">
        <v>0</v>
      </c>
    </row>
    <row r="23" spans="1:23" x14ac:dyDescent="0.35">
      <c r="A23" s="7" t="s">
        <v>23</v>
      </c>
      <c r="B23" s="7" t="s">
        <v>130</v>
      </c>
      <c r="C23" s="7" t="s">
        <v>121</v>
      </c>
      <c r="D23" s="8">
        <v>260532</v>
      </c>
      <c r="E23" s="16" t="s">
        <v>46</v>
      </c>
      <c r="F23" s="7" t="s">
        <v>131</v>
      </c>
      <c r="G23" s="7" t="s">
        <v>48</v>
      </c>
      <c r="H23" s="7" t="s">
        <v>49</v>
      </c>
      <c r="I23" s="7" t="s">
        <v>123</v>
      </c>
      <c r="J23" s="7" t="s">
        <v>124</v>
      </c>
      <c r="K23" s="7" t="s">
        <v>41</v>
      </c>
      <c r="L23" s="7" t="s">
        <v>42</v>
      </c>
      <c r="M23" s="7" t="s">
        <v>132</v>
      </c>
      <c r="N23" s="9" t="s">
        <v>126</v>
      </c>
      <c r="O23" s="9" t="s">
        <v>51</v>
      </c>
      <c r="P23" s="9" t="s">
        <v>34</v>
      </c>
      <c r="Q23" s="10" t="str">
        <f>IF(IDMaster[[#This Row],[Consumption]]="Consumption",IDMaster[[#This Row],[Consumption]],IDMaster[[#This Row],[Basis]])</f>
        <v>RAC Direct</v>
      </c>
      <c r="R23" s="7" t="str">
        <f>IDMaster[[#This Row],[Supported Group]]&amp;"."&amp;IDMaster[[#This Row],[Basis]]</f>
        <v>IT Infrastructure.RAC Direct</v>
      </c>
      <c r="S23" s="11">
        <v>1</v>
      </c>
      <c r="T23" s="12">
        <v>0</v>
      </c>
      <c r="U23" s="12">
        <v>0</v>
      </c>
      <c r="V23" s="12">
        <v>0</v>
      </c>
      <c r="W23" s="12">
        <v>0</v>
      </c>
    </row>
    <row r="24" spans="1:23" x14ac:dyDescent="0.35">
      <c r="A24" s="7" t="s">
        <v>23</v>
      </c>
      <c r="B24" s="7" t="s">
        <v>133</v>
      </c>
      <c r="C24" s="7" t="s">
        <v>134</v>
      </c>
      <c r="D24" s="8"/>
      <c r="E24" s="16" t="s">
        <v>46</v>
      </c>
      <c r="F24" s="7" t="s">
        <v>42</v>
      </c>
      <c r="G24" s="7" t="s">
        <v>48</v>
      </c>
      <c r="H24" s="7" t="s">
        <v>39</v>
      </c>
      <c r="I24" s="7" t="s">
        <v>28</v>
      </c>
      <c r="J24" s="7" t="s">
        <v>40</v>
      </c>
      <c r="K24" s="7" t="s">
        <v>41</v>
      </c>
      <c r="L24" s="7" t="s">
        <v>42</v>
      </c>
      <c r="M24" s="7" t="s">
        <v>43</v>
      </c>
      <c r="N24" s="9" t="s">
        <v>32</v>
      </c>
      <c r="O24" s="9" t="s">
        <v>51</v>
      </c>
      <c r="P24" s="9" t="s">
        <v>34</v>
      </c>
      <c r="Q24" s="10" t="str">
        <f>IF(IDMaster[[#This Row],[Consumption]]="Consumption",IDMaster[[#This Row],[Consumption]],IDMaster[[#This Row],[Basis]])</f>
        <v>Revenue</v>
      </c>
      <c r="R24" s="7" t="str">
        <f>IDMaster[[#This Row],[Supported Group]]&amp;"."&amp;IDMaster[[#This Row],[Basis]]</f>
        <v>IT Infrastructure.Revenue</v>
      </c>
      <c r="S24" s="11">
        <v>0.42185161428265983</v>
      </c>
      <c r="T24" s="12">
        <v>0.57814838571734017</v>
      </c>
      <c r="U24" s="12">
        <v>0</v>
      </c>
      <c r="V24" s="12">
        <v>0</v>
      </c>
      <c r="W24" s="12">
        <v>0</v>
      </c>
    </row>
    <row r="25" spans="1:23" x14ac:dyDescent="0.35">
      <c r="A25" s="7" t="s">
        <v>23</v>
      </c>
      <c r="B25" s="7" t="s">
        <v>135</v>
      </c>
      <c r="C25" s="7" t="s">
        <v>25</v>
      </c>
      <c r="D25" s="8"/>
      <c r="E25" s="16" t="s">
        <v>53</v>
      </c>
      <c r="F25" s="7" t="s">
        <v>136</v>
      </c>
      <c r="G25" s="7" t="s">
        <v>55</v>
      </c>
      <c r="H25" s="7" t="s">
        <v>49</v>
      </c>
      <c r="I25" s="7" t="s">
        <v>28</v>
      </c>
      <c r="J25" s="7" t="s">
        <v>137</v>
      </c>
      <c r="K25" s="7" t="s">
        <v>63</v>
      </c>
      <c r="L25" s="7" t="s">
        <v>30</v>
      </c>
      <c r="M25" s="7" t="s">
        <v>136</v>
      </c>
      <c r="N25" s="9" t="s">
        <v>32</v>
      </c>
      <c r="O25" s="9" t="s">
        <v>33</v>
      </c>
      <c r="P25" s="9" t="s">
        <v>34</v>
      </c>
      <c r="Q25" s="10" t="str">
        <f>IF(IDMaster[[#This Row],[Consumption]]="Consumption",IDMaster[[#This Row],[Consumption]],IDMaster[[#This Row],[Basis]])</f>
        <v>Revenue</v>
      </c>
      <c r="R25" s="7" t="str">
        <f>IDMaster[[#This Row],[Supported Group]]&amp;"."&amp;IDMaster[[#This Row],[Basis]]</f>
        <v>IT Tools.Revenue</v>
      </c>
      <c r="S25" s="11">
        <v>0.42185161428265983</v>
      </c>
      <c r="T25" s="12">
        <v>0.57814838571734017</v>
      </c>
      <c r="U25" s="12">
        <v>0</v>
      </c>
      <c r="V25" s="12">
        <v>0</v>
      </c>
      <c r="W25" s="12">
        <v>0</v>
      </c>
    </row>
    <row r="26" spans="1:23" x14ac:dyDescent="0.35">
      <c r="A26" s="7" t="s">
        <v>23</v>
      </c>
      <c r="B26" s="7" t="s">
        <v>138</v>
      </c>
      <c r="C26" s="7" t="s">
        <v>25</v>
      </c>
      <c r="D26" s="8"/>
      <c r="E26" s="16" t="s">
        <v>53</v>
      </c>
      <c r="F26" s="7" t="s">
        <v>136</v>
      </c>
      <c r="G26" s="7" t="s">
        <v>55</v>
      </c>
      <c r="H26" s="7" t="s">
        <v>39</v>
      </c>
      <c r="I26" s="7" t="s">
        <v>28</v>
      </c>
      <c r="J26" s="7" t="s">
        <v>40</v>
      </c>
      <c r="K26" s="7" t="s">
        <v>41</v>
      </c>
      <c r="L26" s="7" t="s">
        <v>42</v>
      </c>
      <c r="M26" s="7" t="s">
        <v>136</v>
      </c>
      <c r="N26" s="9" t="s">
        <v>32</v>
      </c>
      <c r="O26" s="9" t="s">
        <v>33</v>
      </c>
      <c r="P26" s="9" t="s">
        <v>34</v>
      </c>
      <c r="Q26" s="10" t="str">
        <f>IF(IDMaster[[#This Row],[Consumption]]="Consumption",IDMaster[[#This Row],[Consumption]],IDMaster[[#This Row],[Basis]])</f>
        <v>Revenue</v>
      </c>
      <c r="R26" s="7" t="str">
        <f>IDMaster[[#This Row],[Supported Group]]&amp;"."&amp;IDMaster[[#This Row],[Basis]]</f>
        <v>IT Tools.Revenue</v>
      </c>
      <c r="S26" s="11">
        <v>0.42185161428265983</v>
      </c>
      <c r="T26" s="12">
        <v>0.57814838571734017</v>
      </c>
      <c r="U26" s="12">
        <v>0</v>
      </c>
      <c r="V26" s="12">
        <v>0</v>
      </c>
      <c r="W26" s="12">
        <v>0</v>
      </c>
    </row>
    <row r="27" spans="1:23" x14ac:dyDescent="0.35">
      <c r="A27" s="7" t="s">
        <v>23</v>
      </c>
      <c r="B27" s="7" t="s">
        <v>139</v>
      </c>
      <c r="C27" s="7" t="s">
        <v>25</v>
      </c>
      <c r="D27" s="8"/>
      <c r="E27" s="16" t="s">
        <v>53</v>
      </c>
      <c r="F27" s="7" t="s">
        <v>140</v>
      </c>
      <c r="G27" s="7" t="s">
        <v>55</v>
      </c>
      <c r="H27" s="7" t="s">
        <v>49</v>
      </c>
      <c r="I27" s="7" t="s">
        <v>28</v>
      </c>
      <c r="J27" s="7" t="s">
        <v>40</v>
      </c>
      <c r="K27" s="7" t="s">
        <v>41</v>
      </c>
      <c r="L27" s="7" t="s">
        <v>42</v>
      </c>
      <c r="M27" s="7" t="s">
        <v>43</v>
      </c>
      <c r="N27" s="9" t="s">
        <v>32</v>
      </c>
      <c r="O27" s="9" t="s">
        <v>141</v>
      </c>
      <c r="P27" s="9" t="s">
        <v>34</v>
      </c>
      <c r="Q27" s="10" t="str">
        <f>IF(IDMaster[[#This Row],[Consumption]]="Consumption",IDMaster[[#This Row],[Consumption]],IDMaster[[#This Row],[Basis]])</f>
        <v>Revenue</v>
      </c>
      <c r="R27" s="7" t="str">
        <f>IDMaster[[#This Row],[Supported Group]]&amp;"."&amp;IDMaster[[#This Row],[Basis]]</f>
        <v>Other.Revenue</v>
      </c>
      <c r="S27" s="11">
        <v>0.42185161428265983</v>
      </c>
      <c r="T27" s="12">
        <v>0.57814838571734017</v>
      </c>
      <c r="U27" s="12">
        <v>0</v>
      </c>
      <c r="V27" s="12">
        <v>0</v>
      </c>
      <c r="W27" s="12">
        <v>0</v>
      </c>
    </row>
    <row r="28" spans="1:23" x14ac:dyDescent="0.35">
      <c r="A28" s="7" t="s">
        <v>23</v>
      </c>
      <c r="B28" s="7" t="s">
        <v>142</v>
      </c>
      <c r="C28" s="7" t="s">
        <v>69</v>
      </c>
      <c r="D28" s="8"/>
      <c r="E28" s="16" t="s">
        <v>53</v>
      </c>
      <c r="F28" s="7" t="s">
        <v>69</v>
      </c>
      <c r="G28" s="7" t="s">
        <v>143</v>
      </c>
      <c r="H28" s="7" t="s">
        <v>49</v>
      </c>
      <c r="I28" s="7" t="s">
        <v>28</v>
      </c>
      <c r="J28" s="7" t="s">
        <v>73</v>
      </c>
      <c r="K28" s="7" t="s">
        <v>74</v>
      </c>
      <c r="L28" s="7" t="s">
        <v>75</v>
      </c>
      <c r="M28" s="7" t="s">
        <v>76</v>
      </c>
      <c r="N28" s="9" t="s">
        <v>32</v>
      </c>
      <c r="O28" s="9" t="s">
        <v>67</v>
      </c>
      <c r="P28" s="9" t="s">
        <v>34</v>
      </c>
      <c r="Q28" s="10" t="str">
        <f>IF(IDMaster[[#This Row],[Consumption]]="Consumption",IDMaster[[#This Row],[Consumption]],IDMaster[[#This Row],[Basis]])</f>
        <v>Revenue</v>
      </c>
      <c r="R28" s="7" t="str">
        <f>IDMaster[[#This Row],[Supported Group]]&amp;"."&amp;IDMaster[[#This Row],[Basis]]</f>
        <v>IT Corporate.Revenue</v>
      </c>
      <c r="S28" s="11">
        <v>0.42185161428265983</v>
      </c>
      <c r="T28" s="12">
        <v>0.57814838571734017</v>
      </c>
      <c r="U28" s="12">
        <v>0</v>
      </c>
      <c r="V28" s="12">
        <v>0</v>
      </c>
      <c r="W28" s="12">
        <v>0</v>
      </c>
    </row>
    <row r="29" spans="1:23" x14ac:dyDescent="0.35">
      <c r="A29" s="7" t="s">
        <v>23</v>
      </c>
      <c r="B29" s="7" t="s">
        <v>144</v>
      </c>
      <c r="C29" s="7" t="s">
        <v>69</v>
      </c>
      <c r="D29" s="8"/>
      <c r="E29" s="16" t="s">
        <v>46</v>
      </c>
      <c r="F29" s="7" t="s">
        <v>69</v>
      </c>
      <c r="G29" s="7" t="s">
        <v>48</v>
      </c>
      <c r="H29" s="7" t="s">
        <v>49</v>
      </c>
      <c r="I29" s="7" t="s">
        <v>28</v>
      </c>
      <c r="J29" s="7" t="s">
        <v>73</v>
      </c>
      <c r="K29" s="7" t="s">
        <v>74</v>
      </c>
      <c r="L29" s="7" t="s">
        <v>75</v>
      </c>
      <c r="M29" s="7" t="s">
        <v>76</v>
      </c>
      <c r="N29" s="9" t="s">
        <v>32</v>
      </c>
      <c r="O29" s="9" t="s">
        <v>67</v>
      </c>
      <c r="P29" s="9" t="s">
        <v>34</v>
      </c>
      <c r="Q29" s="10" t="str">
        <f>IF(IDMaster[[#This Row],[Consumption]]="Consumption",IDMaster[[#This Row],[Consumption]],IDMaster[[#This Row],[Basis]])</f>
        <v>Revenue</v>
      </c>
      <c r="R29" s="7" t="str">
        <f>IDMaster[[#This Row],[Supported Group]]&amp;"."&amp;IDMaster[[#This Row],[Basis]]</f>
        <v>IT Corporate.Revenue</v>
      </c>
      <c r="S29" s="11">
        <v>0.42185161428265983</v>
      </c>
      <c r="T29" s="12">
        <v>0.57814838571734017</v>
      </c>
      <c r="U29" s="12">
        <v>0</v>
      </c>
      <c r="V29" s="12">
        <v>0</v>
      </c>
      <c r="W29" s="12">
        <v>0</v>
      </c>
    </row>
    <row r="30" spans="1:23" x14ac:dyDescent="0.35">
      <c r="A30" s="7" t="s">
        <v>23</v>
      </c>
      <c r="B30" s="7" t="s">
        <v>145</v>
      </c>
      <c r="C30" s="7" t="s">
        <v>69</v>
      </c>
      <c r="D30" s="8"/>
      <c r="E30" s="16" t="s">
        <v>95</v>
      </c>
      <c r="F30" s="7" t="s">
        <v>69</v>
      </c>
      <c r="G30" s="7" t="s">
        <v>97</v>
      </c>
      <c r="H30" s="7" t="s">
        <v>49</v>
      </c>
      <c r="I30" s="7" t="s">
        <v>28</v>
      </c>
      <c r="J30" s="7" t="s">
        <v>73</v>
      </c>
      <c r="K30" s="7" t="s">
        <v>74</v>
      </c>
      <c r="L30" s="7" t="s">
        <v>75</v>
      </c>
      <c r="M30" s="7" t="s">
        <v>76</v>
      </c>
      <c r="N30" s="9" t="s">
        <v>32</v>
      </c>
      <c r="O30" s="9" t="s">
        <v>99</v>
      </c>
      <c r="P30" s="9" t="s">
        <v>34</v>
      </c>
      <c r="Q30" s="10" t="str">
        <f>IF(IDMaster[[#This Row],[Consumption]]="Consumption",IDMaster[[#This Row],[Consumption]],IDMaster[[#This Row],[Basis]])</f>
        <v>Revenue</v>
      </c>
      <c r="R30" s="7" t="str">
        <f>IDMaster[[#This Row],[Supported Group]]&amp;"."&amp;IDMaster[[#This Row],[Basis]]</f>
        <v>Security.Revenue</v>
      </c>
      <c r="S30" s="11">
        <v>0.42185161428265983</v>
      </c>
      <c r="T30" s="12">
        <v>0.57814838571734017</v>
      </c>
      <c r="U30" s="12">
        <v>0</v>
      </c>
      <c r="V30" s="12">
        <v>0</v>
      </c>
      <c r="W30" s="12">
        <v>0</v>
      </c>
    </row>
    <row r="31" spans="1:23" x14ac:dyDescent="0.35">
      <c r="A31" s="7" t="s">
        <v>23</v>
      </c>
      <c r="B31" s="7" t="s">
        <v>146</v>
      </c>
      <c r="C31" s="7" t="s">
        <v>69</v>
      </c>
      <c r="D31" s="8"/>
      <c r="E31" s="16" t="s">
        <v>70</v>
      </c>
      <c r="F31" s="7" t="s">
        <v>69</v>
      </c>
      <c r="G31" s="7" t="s">
        <v>72</v>
      </c>
      <c r="H31" s="7" t="s">
        <v>49</v>
      </c>
      <c r="I31" s="7" t="s">
        <v>28</v>
      </c>
      <c r="J31" s="7" t="s">
        <v>73</v>
      </c>
      <c r="K31" s="7" t="s">
        <v>74</v>
      </c>
      <c r="L31" s="7" t="s">
        <v>75</v>
      </c>
      <c r="M31" s="7" t="s">
        <v>76</v>
      </c>
      <c r="N31" s="9" t="s">
        <v>32</v>
      </c>
      <c r="O31" s="9" t="s">
        <v>67</v>
      </c>
      <c r="P31" s="9" t="s">
        <v>34</v>
      </c>
      <c r="Q31" s="10" t="str">
        <f>IF(IDMaster[[#This Row],[Consumption]]="Consumption",IDMaster[[#This Row],[Consumption]],IDMaster[[#This Row],[Basis]])</f>
        <v>Revenue</v>
      </c>
      <c r="R31" s="7" t="str">
        <f>IDMaster[[#This Row],[Supported Group]]&amp;"."&amp;IDMaster[[#This Row],[Basis]]</f>
        <v>IT Corporate.Revenue</v>
      </c>
      <c r="S31" s="11">
        <v>0.42185161428265983</v>
      </c>
      <c r="T31" s="12">
        <v>0.57814838571734017</v>
      </c>
      <c r="U31" s="12">
        <v>0</v>
      </c>
      <c r="V31" s="12">
        <v>0</v>
      </c>
      <c r="W31" s="12">
        <v>0</v>
      </c>
    </row>
    <row r="32" spans="1:23" x14ac:dyDescent="0.35">
      <c r="A32" s="7" t="s">
        <v>23</v>
      </c>
      <c r="B32" s="7" t="s">
        <v>147</v>
      </c>
      <c r="C32" s="7" t="s">
        <v>69</v>
      </c>
      <c r="D32" s="8"/>
      <c r="E32" s="16" t="s">
        <v>70</v>
      </c>
      <c r="F32" s="7" t="s">
        <v>69</v>
      </c>
      <c r="G32" s="7" t="s">
        <v>148</v>
      </c>
      <c r="H32" s="7" t="s">
        <v>49</v>
      </c>
      <c r="I32" s="7" t="s">
        <v>28</v>
      </c>
      <c r="J32" s="7" t="s">
        <v>73</v>
      </c>
      <c r="K32" s="7" t="s">
        <v>74</v>
      </c>
      <c r="L32" s="7" t="s">
        <v>75</v>
      </c>
      <c r="M32" s="7" t="s">
        <v>76</v>
      </c>
      <c r="N32" s="9" t="s">
        <v>32</v>
      </c>
      <c r="O32" s="9" t="s">
        <v>67</v>
      </c>
      <c r="P32" s="9" t="s">
        <v>34</v>
      </c>
      <c r="Q32" s="10" t="str">
        <f>IF(IDMaster[[#This Row],[Consumption]]="Consumption",IDMaster[[#This Row],[Consumption]],IDMaster[[#This Row],[Basis]])</f>
        <v>Revenue</v>
      </c>
      <c r="R32" s="7" t="str">
        <f>IDMaster[[#This Row],[Supported Group]]&amp;"."&amp;IDMaster[[#This Row],[Basis]]</f>
        <v>IT Corporate.Revenue</v>
      </c>
      <c r="S32" s="11">
        <v>0.42185161428265983</v>
      </c>
      <c r="T32" s="12">
        <v>0.57814838571734017</v>
      </c>
      <c r="U32" s="12">
        <v>0</v>
      </c>
      <c r="V32" s="12">
        <v>0</v>
      </c>
      <c r="W32" s="12">
        <v>0</v>
      </c>
    </row>
    <row r="33" spans="1:23" x14ac:dyDescent="0.35">
      <c r="A33" s="7" t="s">
        <v>23</v>
      </c>
      <c r="B33" s="7" t="s">
        <v>149</v>
      </c>
      <c r="C33" s="7" t="s">
        <v>69</v>
      </c>
      <c r="D33" s="8"/>
      <c r="E33" s="16" t="s">
        <v>150</v>
      </c>
      <c r="F33" s="7" t="s">
        <v>151</v>
      </c>
      <c r="G33" s="7" t="s">
        <v>152</v>
      </c>
      <c r="H33" s="7" t="s">
        <v>49</v>
      </c>
      <c r="I33" s="7" t="s">
        <v>28</v>
      </c>
      <c r="J33" s="7" t="s">
        <v>73</v>
      </c>
      <c r="K33" s="7" t="s">
        <v>74</v>
      </c>
      <c r="L33" s="7" t="s">
        <v>75</v>
      </c>
      <c r="M33" s="7" t="s">
        <v>76</v>
      </c>
      <c r="N33" s="9" t="s">
        <v>32</v>
      </c>
      <c r="O33" s="9" t="s">
        <v>67</v>
      </c>
      <c r="P33" s="9" t="s">
        <v>34</v>
      </c>
      <c r="Q33" s="10" t="str">
        <f>IF(IDMaster[[#This Row],[Consumption]]="Consumption",IDMaster[[#This Row],[Consumption]],IDMaster[[#This Row],[Basis]])</f>
        <v>Revenue</v>
      </c>
      <c r="R33" s="7" t="str">
        <f>IDMaster[[#This Row],[Supported Group]]&amp;"."&amp;IDMaster[[#This Row],[Basis]]</f>
        <v>IT Corporate.Revenue</v>
      </c>
      <c r="S33" s="11">
        <v>0.42185161428265983</v>
      </c>
      <c r="T33" s="12">
        <v>0.57814838571734017</v>
      </c>
      <c r="U33" s="12">
        <v>0</v>
      </c>
      <c r="V33" s="12">
        <v>0</v>
      </c>
      <c r="W33" s="12">
        <v>0</v>
      </c>
    </row>
    <row r="34" spans="1:23" x14ac:dyDescent="0.35">
      <c r="A34" s="7" t="s">
        <v>23</v>
      </c>
      <c r="B34" s="7" t="s">
        <v>153</v>
      </c>
      <c r="C34" s="7" t="s">
        <v>69</v>
      </c>
      <c r="D34" s="8"/>
      <c r="E34" s="16" t="s">
        <v>53</v>
      </c>
      <c r="F34" s="7" t="s">
        <v>69</v>
      </c>
      <c r="G34" s="7" t="s">
        <v>154</v>
      </c>
      <c r="H34" s="7" t="s">
        <v>49</v>
      </c>
      <c r="I34" s="7" t="s">
        <v>28</v>
      </c>
      <c r="J34" s="7" t="s">
        <v>73</v>
      </c>
      <c r="K34" s="7" t="s">
        <v>74</v>
      </c>
      <c r="L34" s="7" t="s">
        <v>75</v>
      </c>
      <c r="M34" s="7" t="s">
        <v>76</v>
      </c>
      <c r="N34" s="9" t="s">
        <v>32</v>
      </c>
      <c r="O34" s="9" t="s">
        <v>67</v>
      </c>
      <c r="P34" s="9" t="s">
        <v>34</v>
      </c>
      <c r="Q34" s="10" t="str">
        <f>IF(IDMaster[[#This Row],[Consumption]]="Consumption",IDMaster[[#This Row],[Consumption]],IDMaster[[#This Row],[Basis]])</f>
        <v>Revenue</v>
      </c>
      <c r="R34" s="7" t="str">
        <f>IDMaster[[#This Row],[Supported Group]]&amp;"."&amp;IDMaster[[#This Row],[Basis]]</f>
        <v>IT Corporate.Revenue</v>
      </c>
      <c r="S34" s="11">
        <v>0.42185161428265983</v>
      </c>
      <c r="T34" s="12">
        <v>0.57814838571734017</v>
      </c>
      <c r="U34" s="12">
        <v>0</v>
      </c>
      <c r="V34" s="12">
        <v>0</v>
      </c>
      <c r="W34" s="12">
        <v>0</v>
      </c>
    </row>
    <row r="35" spans="1:23" x14ac:dyDescent="0.35">
      <c r="A35" s="7" t="s">
        <v>23</v>
      </c>
      <c r="B35" s="7" t="s">
        <v>155</v>
      </c>
      <c r="C35" s="7" t="s">
        <v>69</v>
      </c>
      <c r="D35" s="8"/>
      <c r="E35" s="16" t="s">
        <v>156</v>
      </c>
      <c r="F35" s="7" t="s">
        <v>69</v>
      </c>
      <c r="G35" s="7" t="s">
        <v>103</v>
      </c>
      <c r="H35" s="7" t="s">
        <v>49</v>
      </c>
      <c r="I35" s="7" t="s">
        <v>28</v>
      </c>
      <c r="J35" s="7" t="s">
        <v>73</v>
      </c>
      <c r="K35" s="7" t="s">
        <v>74</v>
      </c>
      <c r="L35" s="7" t="s">
        <v>75</v>
      </c>
      <c r="M35" s="7" t="s">
        <v>76</v>
      </c>
      <c r="N35" s="9" t="s">
        <v>32</v>
      </c>
      <c r="O35" s="9" t="s">
        <v>67</v>
      </c>
      <c r="P35" s="9" t="s">
        <v>34</v>
      </c>
      <c r="Q35" s="10" t="str">
        <f>IF(IDMaster[[#This Row],[Consumption]]="Consumption",IDMaster[[#This Row],[Consumption]],IDMaster[[#This Row],[Basis]])</f>
        <v>Revenue</v>
      </c>
      <c r="R35" s="7" t="str">
        <f>IDMaster[[#This Row],[Supported Group]]&amp;"."&amp;IDMaster[[#This Row],[Basis]]</f>
        <v>IT Corporate.Revenue</v>
      </c>
      <c r="S35" s="11">
        <v>0.42185161428265983</v>
      </c>
      <c r="T35" s="12">
        <v>0.57814838571734017</v>
      </c>
      <c r="U35" s="12">
        <v>0</v>
      </c>
      <c r="V35" s="12">
        <v>0</v>
      </c>
      <c r="W35" s="12">
        <v>0</v>
      </c>
    </row>
    <row r="36" spans="1:23" x14ac:dyDescent="0.35">
      <c r="A36" s="7" t="s">
        <v>23</v>
      </c>
      <c r="B36" s="7" t="s">
        <v>157</v>
      </c>
      <c r="C36" s="7" t="s">
        <v>69</v>
      </c>
      <c r="D36" s="8"/>
      <c r="E36" s="16" t="s">
        <v>53</v>
      </c>
      <c r="F36" s="7" t="s">
        <v>69</v>
      </c>
      <c r="G36" s="7" t="s">
        <v>55</v>
      </c>
      <c r="H36" s="7" t="s">
        <v>49</v>
      </c>
      <c r="I36" s="7" t="s">
        <v>28</v>
      </c>
      <c r="J36" s="7" t="s">
        <v>73</v>
      </c>
      <c r="K36" s="7" t="s">
        <v>74</v>
      </c>
      <c r="L36" s="7" t="s">
        <v>75</v>
      </c>
      <c r="M36" s="7" t="s">
        <v>158</v>
      </c>
      <c r="N36" s="9" t="s">
        <v>32</v>
      </c>
      <c r="O36" s="9" t="s">
        <v>67</v>
      </c>
      <c r="P36" s="9" t="s">
        <v>34</v>
      </c>
      <c r="Q36" s="10" t="str">
        <f>IF(IDMaster[[#This Row],[Consumption]]="Consumption",IDMaster[[#This Row],[Consumption]],IDMaster[[#This Row],[Basis]])</f>
        <v>Revenue</v>
      </c>
      <c r="R36" s="7" t="str">
        <f>IDMaster[[#This Row],[Supported Group]]&amp;"."&amp;IDMaster[[#This Row],[Basis]]</f>
        <v>IT Corporate.Revenue</v>
      </c>
      <c r="S36" s="11">
        <v>0.42185161428265983</v>
      </c>
      <c r="T36" s="12">
        <v>0.57814838571734017</v>
      </c>
      <c r="U36" s="12">
        <v>0</v>
      </c>
      <c r="V36" s="12">
        <v>0</v>
      </c>
      <c r="W36" s="12">
        <v>0</v>
      </c>
    </row>
    <row r="37" spans="1:23" x14ac:dyDescent="0.35">
      <c r="A37" s="7" t="s">
        <v>23</v>
      </c>
      <c r="B37" s="7" t="s">
        <v>159</v>
      </c>
      <c r="C37" s="7" t="s">
        <v>69</v>
      </c>
      <c r="D37" s="8"/>
      <c r="E37" s="16" t="s">
        <v>53</v>
      </c>
      <c r="F37" s="7" t="s">
        <v>151</v>
      </c>
      <c r="G37" s="7" t="s">
        <v>55</v>
      </c>
      <c r="H37" s="7" t="s">
        <v>49</v>
      </c>
      <c r="I37" s="7" t="s">
        <v>28</v>
      </c>
      <c r="J37" s="7" t="s">
        <v>73</v>
      </c>
      <c r="K37" s="7" t="s">
        <v>74</v>
      </c>
      <c r="L37" s="7" t="s">
        <v>75</v>
      </c>
      <c r="M37" s="7" t="s">
        <v>76</v>
      </c>
      <c r="N37" s="9" t="s">
        <v>32</v>
      </c>
      <c r="O37" s="9" t="s">
        <v>67</v>
      </c>
      <c r="P37" s="9" t="s">
        <v>34</v>
      </c>
      <c r="Q37" s="10" t="str">
        <f>IF(IDMaster[[#This Row],[Consumption]]="Consumption",IDMaster[[#This Row],[Consumption]],IDMaster[[#This Row],[Basis]])</f>
        <v>Revenue</v>
      </c>
      <c r="R37" s="7" t="str">
        <f>IDMaster[[#This Row],[Supported Group]]&amp;"."&amp;IDMaster[[#This Row],[Basis]]</f>
        <v>IT Corporate.Revenue</v>
      </c>
      <c r="S37" s="11">
        <v>0.42185161428265983</v>
      </c>
      <c r="T37" s="12">
        <v>0.57814838571734017</v>
      </c>
      <c r="U37" s="12">
        <v>0</v>
      </c>
      <c r="V37" s="12">
        <v>0</v>
      </c>
      <c r="W37" s="12">
        <v>0</v>
      </c>
    </row>
    <row r="38" spans="1:23" x14ac:dyDescent="0.35">
      <c r="A38" s="7" t="s">
        <v>23</v>
      </c>
      <c r="B38" s="7" t="s">
        <v>160</v>
      </c>
      <c r="C38" s="7" t="s">
        <v>69</v>
      </c>
      <c r="D38" s="8"/>
      <c r="E38" s="16" t="s">
        <v>53</v>
      </c>
      <c r="F38" s="7" t="s">
        <v>69</v>
      </c>
      <c r="G38" s="7" t="s">
        <v>55</v>
      </c>
      <c r="H38" s="7" t="s">
        <v>49</v>
      </c>
      <c r="I38" s="7" t="s">
        <v>28</v>
      </c>
      <c r="J38" s="7" t="s">
        <v>73</v>
      </c>
      <c r="K38" s="7" t="s">
        <v>74</v>
      </c>
      <c r="L38" s="7" t="s">
        <v>75</v>
      </c>
      <c r="M38" s="7" t="s">
        <v>76</v>
      </c>
      <c r="N38" s="9" t="s">
        <v>32</v>
      </c>
      <c r="O38" s="9" t="s">
        <v>67</v>
      </c>
      <c r="P38" s="9" t="s">
        <v>34</v>
      </c>
      <c r="Q38" s="10" t="str">
        <f>IF(IDMaster[[#This Row],[Consumption]]="Consumption",IDMaster[[#This Row],[Consumption]],IDMaster[[#This Row],[Basis]])</f>
        <v>Revenue</v>
      </c>
      <c r="R38" s="7" t="str">
        <f>IDMaster[[#This Row],[Supported Group]]&amp;"."&amp;IDMaster[[#This Row],[Basis]]</f>
        <v>IT Corporate.Revenue</v>
      </c>
      <c r="S38" s="11">
        <v>0.42185161428265983</v>
      </c>
      <c r="T38" s="12">
        <v>0.57814838571734017</v>
      </c>
      <c r="U38" s="12">
        <v>0</v>
      </c>
      <c r="V38" s="12">
        <v>0</v>
      </c>
      <c r="W38" s="12">
        <v>0</v>
      </c>
    </row>
    <row r="39" spans="1:23" x14ac:dyDescent="0.35">
      <c r="A39" s="7" t="s">
        <v>23</v>
      </c>
      <c r="B39" s="7" t="s">
        <v>161</v>
      </c>
      <c r="C39" s="7" t="s">
        <v>162</v>
      </c>
      <c r="D39" s="8"/>
      <c r="E39" s="16" t="s">
        <v>25</v>
      </c>
      <c r="F39" s="7" t="s">
        <v>163</v>
      </c>
      <c r="G39" s="7" t="s">
        <v>25</v>
      </c>
      <c r="H39" s="7" t="s">
        <v>49</v>
      </c>
      <c r="I39" s="7" t="s">
        <v>28</v>
      </c>
      <c r="J39" s="7" t="s">
        <v>73</v>
      </c>
      <c r="K39" s="7" t="s">
        <v>164</v>
      </c>
      <c r="L39" s="7" t="s">
        <v>165</v>
      </c>
      <c r="M39" s="7" t="s">
        <v>166</v>
      </c>
      <c r="N39" s="9" t="s">
        <v>32</v>
      </c>
      <c r="O39" s="9" t="s">
        <v>67</v>
      </c>
      <c r="P39" s="9" t="s">
        <v>34</v>
      </c>
      <c r="Q39" s="10" t="str">
        <f>IF(IDMaster[[#This Row],[Consumption]]="Consumption",IDMaster[[#This Row],[Consumption]],IDMaster[[#This Row],[Basis]])</f>
        <v>Revenue</v>
      </c>
      <c r="R39" s="7" t="str">
        <f>IDMaster[[#This Row],[Supported Group]]&amp;"."&amp;IDMaster[[#This Row],[Basis]]</f>
        <v>IT Corporate.Revenue</v>
      </c>
      <c r="S39" s="11">
        <v>0.42185161428265983</v>
      </c>
      <c r="T39" s="12">
        <v>0.57814838571734017</v>
      </c>
      <c r="U39" s="12">
        <v>0</v>
      </c>
      <c r="V39" s="12">
        <v>0</v>
      </c>
      <c r="W39" s="12">
        <v>0</v>
      </c>
    </row>
    <row r="40" spans="1:23" x14ac:dyDescent="0.35">
      <c r="A40" s="7" t="s">
        <v>23</v>
      </c>
      <c r="B40" s="7" t="s">
        <v>167</v>
      </c>
      <c r="C40" s="7" t="s">
        <v>162</v>
      </c>
      <c r="D40" s="8"/>
      <c r="E40" s="16" t="s">
        <v>25</v>
      </c>
      <c r="F40" s="7" t="s">
        <v>162</v>
      </c>
      <c r="G40" s="7" t="s">
        <v>25</v>
      </c>
      <c r="H40" s="7" t="s">
        <v>49</v>
      </c>
      <c r="I40" s="7" t="s">
        <v>28</v>
      </c>
      <c r="J40" s="7" t="s">
        <v>73</v>
      </c>
      <c r="K40" s="7" t="s">
        <v>164</v>
      </c>
      <c r="L40" s="7" t="s">
        <v>165</v>
      </c>
      <c r="M40" s="7" t="s">
        <v>166</v>
      </c>
      <c r="N40" s="9" t="s">
        <v>32</v>
      </c>
      <c r="O40" s="9" t="s">
        <v>67</v>
      </c>
      <c r="P40" s="9" t="s">
        <v>34</v>
      </c>
      <c r="Q40" s="10" t="str">
        <f>IF(IDMaster[[#This Row],[Consumption]]="Consumption",IDMaster[[#This Row],[Consumption]],IDMaster[[#This Row],[Basis]])</f>
        <v>Revenue</v>
      </c>
      <c r="R40" s="7" t="str">
        <f>IDMaster[[#This Row],[Supported Group]]&amp;"."&amp;IDMaster[[#This Row],[Basis]]</f>
        <v>IT Corporate.Revenue</v>
      </c>
      <c r="S40" s="11">
        <v>0.42185161428265983</v>
      </c>
      <c r="T40" s="12">
        <v>0.57814838571734017</v>
      </c>
      <c r="U40" s="12">
        <v>0</v>
      </c>
      <c r="V40" s="12">
        <v>0</v>
      </c>
      <c r="W40" s="12">
        <v>0</v>
      </c>
    </row>
    <row r="41" spans="1:23" x14ac:dyDescent="0.35">
      <c r="A41" s="16" t="s">
        <v>23</v>
      </c>
      <c r="B41" s="16" t="s">
        <v>168</v>
      </c>
      <c r="C41" s="7" t="s">
        <v>169</v>
      </c>
      <c r="D41" s="8"/>
      <c r="E41" s="16" t="s">
        <v>156</v>
      </c>
      <c r="F41" s="7" t="s">
        <v>170</v>
      </c>
      <c r="G41" s="16" t="s">
        <v>103</v>
      </c>
      <c r="H41" s="16" t="s">
        <v>49</v>
      </c>
      <c r="I41" s="16" t="s">
        <v>28</v>
      </c>
      <c r="J41" s="16" t="s">
        <v>40</v>
      </c>
      <c r="K41" s="16" t="s">
        <v>80</v>
      </c>
      <c r="L41" s="16" t="s">
        <v>42</v>
      </c>
      <c r="M41" s="7" t="s">
        <v>171</v>
      </c>
      <c r="N41" s="25" t="s">
        <v>32</v>
      </c>
      <c r="O41" s="25" t="s">
        <v>67</v>
      </c>
      <c r="P41" s="25" t="s">
        <v>34</v>
      </c>
      <c r="Q41" s="10" t="str">
        <f>IF(IDMaster[[#This Row],[Consumption]]="Consumption",IDMaster[[#This Row],[Consumption]],IDMaster[[#This Row],[Basis]])</f>
        <v>Revenue</v>
      </c>
      <c r="R41" s="7" t="str">
        <f>IDMaster[[#This Row],[Supported Group]]&amp;"."&amp;IDMaster[[#This Row],[Basis]]</f>
        <v>IT Corporate.Revenue</v>
      </c>
      <c r="S41" s="11">
        <v>0.42185161428265983</v>
      </c>
      <c r="T41" s="12">
        <v>0.57814838571734017</v>
      </c>
      <c r="U41" s="12">
        <v>0</v>
      </c>
      <c r="V41" s="12">
        <v>0</v>
      </c>
      <c r="W41" s="12">
        <v>0</v>
      </c>
    </row>
    <row r="42" spans="1:23" x14ac:dyDescent="0.35">
      <c r="A42" s="16" t="s">
        <v>23</v>
      </c>
      <c r="B42" s="16" t="s">
        <v>172</v>
      </c>
      <c r="C42" s="24" t="s">
        <v>173</v>
      </c>
      <c r="D42" s="18">
        <v>357450</v>
      </c>
      <c r="E42" s="16" t="s">
        <v>156</v>
      </c>
      <c r="F42" s="16" t="s">
        <v>174</v>
      </c>
      <c r="G42" s="16" t="s">
        <v>103</v>
      </c>
      <c r="H42" s="16" t="s">
        <v>49</v>
      </c>
      <c r="I42" s="16" t="s">
        <v>28</v>
      </c>
      <c r="J42" s="16" t="s">
        <v>40</v>
      </c>
      <c r="K42" s="16" t="s">
        <v>80</v>
      </c>
      <c r="L42" s="16" t="s">
        <v>42</v>
      </c>
      <c r="M42" s="16" t="s">
        <v>175</v>
      </c>
      <c r="N42" s="25" t="s">
        <v>32</v>
      </c>
      <c r="O42" s="25" t="s">
        <v>67</v>
      </c>
      <c r="P42" s="25" t="s">
        <v>34</v>
      </c>
      <c r="Q42" s="10" t="str">
        <f>IF(IDMaster[[#This Row],[Consumption]]="Consumption",IDMaster[[#This Row],[Consumption]],IDMaster[[#This Row],[Basis]])</f>
        <v>Revenue</v>
      </c>
      <c r="R42" s="7" t="str">
        <f>IDMaster[[#This Row],[Supported Group]]&amp;"."&amp;IDMaster[[#This Row],[Basis]]</f>
        <v>IT Corporate.Revenue</v>
      </c>
      <c r="S42" s="11">
        <v>0.42185161428265983</v>
      </c>
      <c r="T42" s="12">
        <v>0.57814838571734017</v>
      </c>
      <c r="U42" s="12">
        <v>0</v>
      </c>
      <c r="V42" s="12">
        <v>0</v>
      </c>
      <c r="W42" s="12">
        <v>0</v>
      </c>
    </row>
    <row r="43" spans="1:23" x14ac:dyDescent="0.35">
      <c r="A43" s="7" t="s">
        <v>23</v>
      </c>
      <c r="B43" s="7" t="s">
        <v>176</v>
      </c>
      <c r="C43" s="7" t="s">
        <v>169</v>
      </c>
      <c r="D43" s="8"/>
      <c r="E43" s="7" t="s">
        <v>156</v>
      </c>
      <c r="F43" s="7" t="s">
        <v>177</v>
      </c>
      <c r="G43" s="7" t="s">
        <v>103</v>
      </c>
      <c r="H43" s="7" t="s">
        <v>49</v>
      </c>
      <c r="I43" s="7" t="s">
        <v>28</v>
      </c>
      <c r="J43" s="7" t="s">
        <v>178</v>
      </c>
      <c r="K43" s="7" t="s">
        <v>63</v>
      </c>
      <c r="L43" s="7" t="s">
        <v>30</v>
      </c>
      <c r="M43" s="7" t="s">
        <v>179</v>
      </c>
      <c r="N43" s="9" t="s">
        <v>32</v>
      </c>
      <c r="O43" s="9" t="s">
        <v>67</v>
      </c>
      <c r="P43" s="9" t="s">
        <v>34</v>
      </c>
      <c r="Q43" s="10" t="str">
        <f>IF(IDMaster[[#This Row],[Consumption]]="Consumption",IDMaster[[#This Row],[Consumption]],IDMaster[[#This Row],[Basis]])</f>
        <v>Revenue</v>
      </c>
      <c r="R43" s="7" t="str">
        <f>IDMaster[[#This Row],[Supported Group]]&amp;"."&amp;IDMaster[[#This Row],[Basis]]</f>
        <v>IT Corporate.Revenue</v>
      </c>
      <c r="S43" s="11">
        <v>0.42185161428265983</v>
      </c>
      <c r="T43" s="12">
        <v>0.57814838571734017</v>
      </c>
      <c r="U43" s="12">
        <v>0</v>
      </c>
      <c r="V43" s="12">
        <v>0</v>
      </c>
      <c r="W43" s="12">
        <v>0</v>
      </c>
    </row>
    <row r="44" spans="1:23" x14ac:dyDescent="0.35">
      <c r="A44" s="7" t="s">
        <v>23</v>
      </c>
      <c r="B44" s="7" t="s">
        <v>180</v>
      </c>
      <c r="C44" s="7" t="s">
        <v>181</v>
      </c>
      <c r="D44" s="8">
        <v>260532</v>
      </c>
      <c r="E44" s="7" t="s">
        <v>156</v>
      </c>
      <c r="F44" s="7" t="s">
        <v>182</v>
      </c>
      <c r="G44" s="7" t="s">
        <v>103</v>
      </c>
      <c r="H44" s="7" t="s">
        <v>49</v>
      </c>
      <c r="I44" s="7" t="s">
        <v>28</v>
      </c>
      <c r="J44" s="7" t="s">
        <v>40</v>
      </c>
      <c r="K44" s="7" t="s">
        <v>80</v>
      </c>
      <c r="L44" s="7" t="s">
        <v>42</v>
      </c>
      <c r="M44" s="7" t="s">
        <v>175</v>
      </c>
      <c r="N44" s="9" t="s">
        <v>32</v>
      </c>
      <c r="O44" s="9" t="s">
        <v>81</v>
      </c>
      <c r="P44" s="9" t="s">
        <v>34</v>
      </c>
      <c r="Q44" s="10" t="str">
        <f>IF(IDMaster[[#This Row],[Consumption]]="Consumption",IDMaster[[#This Row],[Consumption]],IDMaster[[#This Row],[Basis]])</f>
        <v>Revenue</v>
      </c>
      <c r="R44" s="7" t="str">
        <f>IDMaster[[#This Row],[Supported Group]]&amp;"."&amp;IDMaster[[#This Row],[Basis]]</f>
        <v>Data.Revenue</v>
      </c>
      <c r="S44" s="11">
        <v>0.42185161428265983</v>
      </c>
      <c r="T44" s="12">
        <v>0.57814838571734017</v>
      </c>
      <c r="U44" s="12">
        <v>0</v>
      </c>
      <c r="V44" s="12">
        <v>0</v>
      </c>
      <c r="W44" s="12">
        <v>0</v>
      </c>
    </row>
    <row r="45" spans="1:23" x14ac:dyDescent="0.35">
      <c r="A45" s="7" t="s">
        <v>23</v>
      </c>
      <c r="B45" s="7" t="s">
        <v>183</v>
      </c>
      <c r="C45" s="7" t="s">
        <v>181</v>
      </c>
      <c r="D45" s="8">
        <v>260532</v>
      </c>
      <c r="E45" s="7" t="s">
        <v>156</v>
      </c>
      <c r="F45" s="7" t="s">
        <v>184</v>
      </c>
      <c r="G45" s="7" t="s">
        <v>103</v>
      </c>
      <c r="H45" s="7" t="s">
        <v>49</v>
      </c>
      <c r="I45" s="7" t="s">
        <v>28</v>
      </c>
      <c r="J45" s="7" t="s">
        <v>40</v>
      </c>
      <c r="K45" s="7" t="s">
        <v>80</v>
      </c>
      <c r="L45" s="7" t="s">
        <v>42</v>
      </c>
      <c r="M45" s="7" t="s">
        <v>185</v>
      </c>
      <c r="N45" s="9" t="s">
        <v>32</v>
      </c>
      <c r="O45" s="9" t="s">
        <v>81</v>
      </c>
      <c r="P45" s="9" t="s">
        <v>34</v>
      </c>
      <c r="Q45" s="10" t="str">
        <f>IF(IDMaster[[#This Row],[Consumption]]="Consumption",IDMaster[[#This Row],[Consumption]],IDMaster[[#This Row],[Basis]])</f>
        <v>Revenue</v>
      </c>
      <c r="R45" s="7" t="str">
        <f>IDMaster[[#This Row],[Supported Group]]&amp;"."&amp;IDMaster[[#This Row],[Basis]]</f>
        <v>Data.Revenue</v>
      </c>
      <c r="S45" s="11">
        <v>0.42185161428265983</v>
      </c>
      <c r="T45" s="12">
        <v>0.57814838571734017</v>
      </c>
      <c r="U45" s="12">
        <v>0</v>
      </c>
      <c r="V45" s="12">
        <v>0</v>
      </c>
      <c r="W45" s="12">
        <v>0</v>
      </c>
    </row>
    <row r="46" spans="1:23" x14ac:dyDescent="0.35">
      <c r="A46" s="7" t="s">
        <v>23</v>
      </c>
      <c r="B46" s="7" t="s">
        <v>186</v>
      </c>
      <c r="C46" s="7" t="s">
        <v>181</v>
      </c>
      <c r="D46" s="8">
        <v>260532</v>
      </c>
      <c r="E46" s="7" t="s">
        <v>156</v>
      </c>
      <c r="F46" s="7" t="s">
        <v>187</v>
      </c>
      <c r="G46" s="7" t="s">
        <v>103</v>
      </c>
      <c r="H46" s="7" t="s">
        <v>49</v>
      </c>
      <c r="I46" s="7" t="s">
        <v>28</v>
      </c>
      <c r="J46" s="7" t="s">
        <v>40</v>
      </c>
      <c r="K46" s="7" t="s">
        <v>80</v>
      </c>
      <c r="L46" s="7" t="s">
        <v>42</v>
      </c>
      <c r="M46" s="7" t="s">
        <v>188</v>
      </c>
      <c r="N46" s="9" t="s">
        <v>32</v>
      </c>
      <c r="O46" s="9" t="s">
        <v>81</v>
      </c>
      <c r="P46" s="9" t="s">
        <v>34</v>
      </c>
      <c r="Q46" s="10" t="str">
        <f>IF(IDMaster[[#This Row],[Consumption]]="Consumption",IDMaster[[#This Row],[Consumption]],IDMaster[[#This Row],[Basis]])</f>
        <v>Revenue</v>
      </c>
      <c r="R46" s="7" t="str">
        <f>IDMaster[[#This Row],[Supported Group]]&amp;"."&amp;IDMaster[[#This Row],[Basis]]</f>
        <v>Data.Revenue</v>
      </c>
      <c r="S46" s="11">
        <v>0.42185161428265983</v>
      </c>
      <c r="T46" s="12">
        <v>0.57814838571734017</v>
      </c>
      <c r="U46" s="12">
        <v>0</v>
      </c>
      <c r="V46" s="12">
        <v>0</v>
      </c>
      <c r="W46" s="12">
        <v>0</v>
      </c>
    </row>
    <row r="47" spans="1:23" x14ac:dyDescent="0.35">
      <c r="A47" s="7" t="s">
        <v>23</v>
      </c>
      <c r="B47" s="7" t="s">
        <v>189</v>
      </c>
      <c r="C47" s="7" t="s">
        <v>190</v>
      </c>
      <c r="D47" s="8"/>
      <c r="E47" s="16" t="s">
        <v>53</v>
      </c>
      <c r="F47" s="7" t="s">
        <v>191</v>
      </c>
      <c r="G47" s="7" t="s">
        <v>55</v>
      </c>
      <c r="H47" s="7" t="s">
        <v>49</v>
      </c>
      <c r="I47" s="7" t="s">
        <v>28</v>
      </c>
      <c r="J47" s="7" t="s">
        <v>40</v>
      </c>
      <c r="K47" s="7" t="s">
        <v>80</v>
      </c>
      <c r="L47" s="7" t="s">
        <v>42</v>
      </c>
      <c r="M47" s="7" t="s">
        <v>192</v>
      </c>
      <c r="N47" s="9" t="s">
        <v>32</v>
      </c>
      <c r="O47" s="9" t="s">
        <v>67</v>
      </c>
      <c r="P47" s="9" t="s">
        <v>34</v>
      </c>
      <c r="Q47" s="10" t="str">
        <f>IF(IDMaster[[#This Row],[Consumption]]="Consumption",IDMaster[[#This Row],[Consumption]],IDMaster[[#This Row],[Basis]])</f>
        <v>Revenue</v>
      </c>
      <c r="R47" s="7" t="str">
        <f>IDMaster[[#This Row],[Supported Group]]&amp;"."&amp;IDMaster[[#This Row],[Basis]]</f>
        <v>IT Corporate.Revenue</v>
      </c>
      <c r="S47" s="11">
        <v>0.42185161428265983</v>
      </c>
      <c r="T47" s="12">
        <v>0.57814838571734017</v>
      </c>
      <c r="U47" s="12">
        <v>0</v>
      </c>
      <c r="V47" s="12">
        <v>0</v>
      </c>
      <c r="W47" s="12">
        <v>0</v>
      </c>
    </row>
    <row r="48" spans="1:23" x14ac:dyDescent="0.35">
      <c r="A48" s="7" t="s">
        <v>23</v>
      </c>
      <c r="B48" s="7" t="s">
        <v>193</v>
      </c>
      <c r="C48" s="7" t="s">
        <v>190</v>
      </c>
      <c r="D48" s="8"/>
      <c r="E48" s="16" t="s">
        <v>53</v>
      </c>
      <c r="F48" s="7" t="s">
        <v>194</v>
      </c>
      <c r="G48" s="7" t="s">
        <v>55</v>
      </c>
      <c r="H48" s="7" t="s">
        <v>39</v>
      </c>
      <c r="I48" s="7" t="s">
        <v>123</v>
      </c>
      <c r="J48" s="7" t="s">
        <v>137</v>
      </c>
      <c r="K48" s="7" t="s">
        <v>29</v>
      </c>
      <c r="L48" s="7" t="s">
        <v>30</v>
      </c>
      <c r="M48" s="7" t="s">
        <v>192</v>
      </c>
      <c r="N48" s="9" t="s">
        <v>32</v>
      </c>
      <c r="O48" s="9" t="s">
        <v>195</v>
      </c>
      <c r="P48" s="9" t="s">
        <v>15</v>
      </c>
      <c r="Q48" s="10" t="str">
        <f>IF(IDMaster[[#This Row],[Consumption]]="Consumption",IDMaster[[#This Row],[Consumption]],IDMaster[[#This Row],[Basis]])</f>
        <v>Consumption</v>
      </c>
      <c r="R48" s="7" t="str">
        <f>IDMaster[[#This Row],[Supported Group]]&amp;"."&amp;IDMaster[[#This Row],[Basis]]</f>
        <v>External Labor.Revenue</v>
      </c>
      <c r="S48" s="11">
        <v>0.5</v>
      </c>
      <c r="T48" s="12">
        <v>0.5</v>
      </c>
      <c r="U48" s="12">
        <v>0</v>
      </c>
      <c r="V48" s="12">
        <v>0</v>
      </c>
      <c r="W48" s="12">
        <v>0</v>
      </c>
    </row>
    <row r="49" spans="1:23" x14ac:dyDescent="0.35">
      <c r="A49" s="7" t="s">
        <v>23</v>
      </c>
      <c r="B49" s="7" t="s">
        <v>196</v>
      </c>
      <c r="C49" s="7" t="s">
        <v>190</v>
      </c>
      <c r="D49" s="8"/>
      <c r="E49" s="16" t="s">
        <v>53</v>
      </c>
      <c r="F49" s="7" t="s">
        <v>194</v>
      </c>
      <c r="G49" s="7" t="s">
        <v>55</v>
      </c>
      <c r="H49" s="7" t="s">
        <v>49</v>
      </c>
      <c r="I49" s="7" t="s">
        <v>28</v>
      </c>
      <c r="J49" s="7" t="s">
        <v>137</v>
      </c>
      <c r="K49" s="7" t="s">
        <v>29</v>
      </c>
      <c r="L49" s="7" t="s">
        <v>30</v>
      </c>
      <c r="M49" s="7" t="s">
        <v>192</v>
      </c>
      <c r="N49" s="9" t="s">
        <v>32</v>
      </c>
      <c r="O49" s="9" t="s">
        <v>195</v>
      </c>
      <c r="P49" s="9" t="s">
        <v>15</v>
      </c>
      <c r="Q49" s="10" t="str">
        <f>IF(IDMaster[[#This Row],[Consumption]]="Consumption",IDMaster[[#This Row],[Consumption]],IDMaster[[#This Row],[Basis]])</f>
        <v>Consumption</v>
      </c>
      <c r="R49" s="7" t="str">
        <f>IDMaster[[#This Row],[Supported Group]]&amp;"."&amp;IDMaster[[#This Row],[Basis]]</f>
        <v>External Labor.Revenue</v>
      </c>
      <c r="S49" s="11">
        <v>4.0769732550554466E-2</v>
      </c>
      <c r="T49" s="12">
        <v>4.0769732550554466E-2</v>
      </c>
      <c r="U49" s="12">
        <v>0</v>
      </c>
      <c r="V49" s="12">
        <v>0</v>
      </c>
      <c r="W49" s="12">
        <v>0.91846053489889101</v>
      </c>
    </row>
    <row r="50" spans="1:23" x14ac:dyDescent="0.35">
      <c r="A50" s="7" t="s">
        <v>23</v>
      </c>
      <c r="B50" s="7" t="s">
        <v>197</v>
      </c>
      <c r="C50" s="7" t="s">
        <v>190</v>
      </c>
      <c r="D50" s="8"/>
      <c r="E50" s="16" t="s">
        <v>53</v>
      </c>
      <c r="F50" s="7" t="s">
        <v>198</v>
      </c>
      <c r="G50" s="7" t="s">
        <v>55</v>
      </c>
      <c r="H50" s="7" t="s">
        <v>49</v>
      </c>
      <c r="I50" s="7" t="s">
        <v>28</v>
      </c>
      <c r="J50" s="7" t="s">
        <v>40</v>
      </c>
      <c r="K50" s="7" t="s">
        <v>80</v>
      </c>
      <c r="L50" s="7" t="s">
        <v>42</v>
      </c>
      <c r="M50" s="7" t="s">
        <v>199</v>
      </c>
      <c r="N50" s="9" t="s">
        <v>32</v>
      </c>
      <c r="O50" s="9" t="s">
        <v>195</v>
      </c>
      <c r="P50" s="9" t="s">
        <v>34</v>
      </c>
      <c r="Q50" s="10" t="str">
        <f>IF(IDMaster[[#This Row],[Consumption]]="Consumption",IDMaster[[#This Row],[Consumption]],IDMaster[[#This Row],[Basis]])</f>
        <v>Revenue</v>
      </c>
      <c r="R50" s="7" t="str">
        <f>IDMaster[[#This Row],[Supported Group]]&amp;"."&amp;IDMaster[[#This Row],[Basis]]</f>
        <v>External Labor.Revenue</v>
      </c>
      <c r="S50" s="11">
        <v>0.42185161428265983</v>
      </c>
      <c r="T50" s="12">
        <v>0.57814838571734017</v>
      </c>
      <c r="U50" s="12">
        <v>0</v>
      </c>
      <c r="V50" s="12">
        <v>0</v>
      </c>
      <c r="W50" s="12">
        <v>0</v>
      </c>
    </row>
    <row r="51" spans="1:23" x14ac:dyDescent="0.35">
      <c r="A51" s="7" t="s">
        <v>23</v>
      </c>
      <c r="B51" s="7" t="s">
        <v>200</v>
      </c>
      <c r="C51" s="7" t="s">
        <v>201</v>
      </c>
      <c r="D51" s="8"/>
      <c r="E51" s="16" t="s">
        <v>53</v>
      </c>
      <c r="F51" s="7" t="s">
        <v>201</v>
      </c>
      <c r="G51" s="7" t="s">
        <v>55</v>
      </c>
      <c r="H51" s="7" t="s">
        <v>49</v>
      </c>
      <c r="I51" s="7" t="s">
        <v>28</v>
      </c>
      <c r="J51" s="7" t="s">
        <v>202</v>
      </c>
      <c r="K51" s="7" t="s">
        <v>203</v>
      </c>
      <c r="L51" s="7" t="s">
        <v>203</v>
      </c>
      <c r="M51" s="7" t="s">
        <v>204</v>
      </c>
      <c r="N51" s="9" t="s">
        <v>32</v>
      </c>
      <c r="O51" s="9" t="s">
        <v>67</v>
      </c>
      <c r="P51" s="9" t="s">
        <v>34</v>
      </c>
      <c r="Q51" s="10" t="str">
        <f>IF(IDMaster[[#This Row],[Consumption]]="Consumption",IDMaster[[#This Row],[Consumption]],IDMaster[[#This Row],[Basis]])</f>
        <v>Revenue</v>
      </c>
      <c r="R51" s="7" t="str">
        <f>IDMaster[[#This Row],[Supported Group]]&amp;"."&amp;IDMaster[[#This Row],[Basis]]</f>
        <v>IT Corporate.Revenue</v>
      </c>
      <c r="S51" s="11">
        <v>0.42185161428265983</v>
      </c>
      <c r="T51" s="12">
        <v>0.57814838571734017</v>
      </c>
      <c r="U51" s="12">
        <v>0</v>
      </c>
      <c r="V51" s="12">
        <v>0</v>
      </c>
      <c r="W51" s="12">
        <v>0</v>
      </c>
    </row>
    <row r="52" spans="1:23" x14ac:dyDescent="0.35">
      <c r="A52" s="7" t="s">
        <v>23</v>
      </c>
      <c r="B52" s="7" t="s">
        <v>205</v>
      </c>
      <c r="C52" s="7" t="s">
        <v>206</v>
      </c>
      <c r="D52" s="8"/>
      <c r="E52" s="7" t="s">
        <v>95</v>
      </c>
      <c r="F52" s="7" t="s">
        <v>207</v>
      </c>
      <c r="G52" s="7" t="s">
        <v>97</v>
      </c>
      <c r="H52" s="7" t="s">
        <v>49</v>
      </c>
      <c r="I52" s="7" t="s">
        <v>28</v>
      </c>
      <c r="J52" s="7" t="s">
        <v>178</v>
      </c>
      <c r="K52" s="7" t="s">
        <v>63</v>
      </c>
      <c r="L52" s="7" t="s">
        <v>30</v>
      </c>
      <c r="M52" s="7" t="s">
        <v>208</v>
      </c>
      <c r="N52" s="9" t="s">
        <v>32</v>
      </c>
      <c r="O52" s="9" t="s">
        <v>99</v>
      </c>
      <c r="P52" s="9" t="s">
        <v>34</v>
      </c>
      <c r="Q52" s="10" t="str">
        <f>IF(IDMaster[[#This Row],[Consumption]]="Consumption",IDMaster[[#This Row],[Consumption]],IDMaster[[#This Row],[Basis]])</f>
        <v>Revenue</v>
      </c>
      <c r="R52" s="7" t="str">
        <f>IDMaster[[#This Row],[Supported Group]]&amp;"."&amp;IDMaster[[#This Row],[Basis]]</f>
        <v>Security.Revenue</v>
      </c>
      <c r="S52" s="11">
        <v>0.42185161428265983</v>
      </c>
      <c r="T52" s="12">
        <v>0.57814838571734017</v>
      </c>
      <c r="U52" s="12">
        <v>0</v>
      </c>
      <c r="V52" s="12">
        <v>0</v>
      </c>
      <c r="W52" s="12">
        <v>0</v>
      </c>
    </row>
    <row r="53" spans="1:23" x14ac:dyDescent="0.35">
      <c r="A53" s="7" t="s">
        <v>23</v>
      </c>
      <c r="B53" s="16" t="s">
        <v>209</v>
      </c>
      <c r="C53" s="7" t="s">
        <v>26</v>
      </c>
      <c r="D53" s="8"/>
      <c r="E53" s="7" t="s">
        <v>95</v>
      </c>
      <c r="F53" s="7" t="s">
        <v>210</v>
      </c>
      <c r="G53" s="7" t="s">
        <v>97</v>
      </c>
      <c r="H53" s="7" t="s">
        <v>49</v>
      </c>
      <c r="I53" s="7" t="s">
        <v>28</v>
      </c>
      <c r="J53" s="7" t="s">
        <v>40</v>
      </c>
      <c r="K53" s="7" t="s">
        <v>80</v>
      </c>
      <c r="L53" s="7" t="s">
        <v>42</v>
      </c>
      <c r="M53" s="7" t="s">
        <v>211</v>
      </c>
      <c r="N53" s="9" t="s">
        <v>32</v>
      </c>
      <c r="O53" s="9" t="s">
        <v>99</v>
      </c>
      <c r="P53" s="9" t="s">
        <v>34</v>
      </c>
      <c r="Q53" s="10" t="str">
        <f>IF(IDMaster[[#This Row],[Consumption]]="Consumption",IDMaster[[#This Row],[Consumption]],IDMaster[[#This Row],[Basis]])</f>
        <v>Revenue</v>
      </c>
      <c r="R53" s="7" t="str">
        <f>IDMaster[[#This Row],[Supported Group]]&amp;"."&amp;IDMaster[[#This Row],[Basis]]</f>
        <v>Security.Revenue</v>
      </c>
      <c r="S53" s="11">
        <v>0.42185161428265983</v>
      </c>
      <c r="T53" s="12">
        <v>0.57814838571734017</v>
      </c>
      <c r="U53" s="12">
        <v>0</v>
      </c>
      <c r="V53" s="12">
        <v>0</v>
      </c>
      <c r="W53" s="12">
        <v>0</v>
      </c>
    </row>
    <row r="54" spans="1:23" x14ac:dyDescent="0.35">
      <c r="A54" s="7" t="s">
        <v>23</v>
      </c>
      <c r="B54" s="7" t="s">
        <v>212</v>
      </c>
      <c r="C54" s="7" t="s">
        <v>213</v>
      </c>
      <c r="D54" s="8"/>
      <c r="E54" s="7"/>
      <c r="F54" s="7" t="s">
        <v>213</v>
      </c>
      <c r="G54" s="7" t="s">
        <v>55</v>
      </c>
      <c r="H54" s="7" t="s">
        <v>49</v>
      </c>
      <c r="I54" s="7" t="s">
        <v>28</v>
      </c>
      <c r="J54" s="7" t="s">
        <v>40</v>
      </c>
      <c r="K54" s="7" t="s">
        <v>80</v>
      </c>
      <c r="L54" s="7" t="s">
        <v>42</v>
      </c>
      <c r="M54" s="7"/>
      <c r="N54" s="9" t="s">
        <v>32</v>
      </c>
      <c r="O54" s="9" t="s">
        <v>141</v>
      </c>
      <c r="P54" s="9" t="s">
        <v>34</v>
      </c>
      <c r="Q54" s="10" t="str">
        <f>IF(IDMaster[[#This Row],[Consumption]]="Consumption",IDMaster[[#This Row],[Consumption]],IDMaster[[#This Row],[Basis]])</f>
        <v>Revenue</v>
      </c>
      <c r="R54" s="7" t="str">
        <f>IDMaster[[#This Row],[Supported Group]]&amp;"."&amp;IDMaster[[#This Row],[Basis]]</f>
        <v>Other.Revenue</v>
      </c>
      <c r="S54" s="11">
        <v>0.42185161428265983</v>
      </c>
      <c r="T54" s="12">
        <v>0.57814838571734017</v>
      </c>
      <c r="U54" s="12">
        <v>0</v>
      </c>
      <c r="V54" s="12">
        <v>0</v>
      </c>
      <c r="W54" s="12">
        <v>0</v>
      </c>
    </row>
    <row r="55" spans="1:23" x14ac:dyDescent="0.35">
      <c r="A55" s="23" t="s">
        <v>23</v>
      </c>
      <c r="B55" s="7" t="s">
        <v>214</v>
      </c>
      <c r="C55" s="7" t="s">
        <v>215</v>
      </c>
      <c r="D55" s="8">
        <v>317646</v>
      </c>
      <c r="E55" s="7"/>
      <c r="F55" s="7" t="s">
        <v>216</v>
      </c>
      <c r="G55" s="7" t="s">
        <v>48</v>
      </c>
      <c r="H55" s="7" t="s">
        <v>39</v>
      </c>
      <c r="I55" s="7" t="s">
        <v>123</v>
      </c>
      <c r="J55" s="7" t="s">
        <v>40</v>
      </c>
      <c r="K55" s="7" t="s">
        <v>80</v>
      </c>
      <c r="L55" s="7" t="s">
        <v>42</v>
      </c>
      <c r="M55" s="7"/>
      <c r="N55" s="9" t="s">
        <v>126</v>
      </c>
      <c r="O55" s="9" t="s">
        <v>51</v>
      </c>
      <c r="P55" s="9" t="s">
        <v>34</v>
      </c>
      <c r="Q55" s="10" t="str">
        <f>IF(IDMaster[[#This Row],[Consumption]]="Consumption",IDMaster[[#This Row],[Consumption]],IDMaster[[#This Row],[Basis]])</f>
        <v>RAC Direct</v>
      </c>
      <c r="R55" s="7" t="str">
        <f>IDMaster[[#This Row],[Supported Group]]&amp;"."&amp;IDMaster[[#This Row],[Basis]]</f>
        <v>IT Infrastructure.RAC Direct</v>
      </c>
      <c r="S55" s="11">
        <v>1</v>
      </c>
      <c r="T55" s="12">
        <v>0</v>
      </c>
      <c r="U55" s="12">
        <v>0</v>
      </c>
      <c r="V55" s="12">
        <v>0</v>
      </c>
      <c r="W55" s="12">
        <v>0</v>
      </c>
    </row>
    <row r="56" spans="1:23" x14ac:dyDescent="0.35">
      <c r="A56" s="23" t="s">
        <v>23</v>
      </c>
      <c r="B56" s="16" t="s">
        <v>217</v>
      </c>
      <c r="C56" s="7" t="s">
        <v>218</v>
      </c>
      <c r="D56" s="8"/>
      <c r="E56" s="7"/>
      <c r="F56" s="7" t="s">
        <v>219</v>
      </c>
      <c r="G56" s="7" t="s">
        <v>55</v>
      </c>
      <c r="H56" s="7" t="s">
        <v>49</v>
      </c>
      <c r="I56" s="7" t="s">
        <v>28</v>
      </c>
      <c r="J56" s="7" t="s">
        <v>40</v>
      </c>
      <c r="K56" s="7" t="s">
        <v>80</v>
      </c>
      <c r="L56" s="7" t="s">
        <v>42</v>
      </c>
      <c r="M56" s="7" t="s">
        <v>220</v>
      </c>
      <c r="N56" s="9" t="s">
        <v>32</v>
      </c>
      <c r="O56" s="9" t="s">
        <v>51</v>
      </c>
      <c r="P56" s="9" t="s">
        <v>34</v>
      </c>
      <c r="Q56" s="10" t="str">
        <f>IF(IDMaster[[#This Row],[Consumption]]="Consumption",IDMaster[[#This Row],[Consumption]],IDMaster[[#This Row],[Basis]])</f>
        <v>Revenue</v>
      </c>
      <c r="R56" s="7" t="str">
        <f>IDMaster[[#This Row],[Supported Group]]&amp;"."&amp;IDMaster[[#This Row],[Basis]]</f>
        <v>IT Infrastructure.Revenue</v>
      </c>
      <c r="S56" s="11">
        <v>0.42185161428265983</v>
      </c>
      <c r="T56" s="12">
        <v>0.57814838571734017</v>
      </c>
      <c r="U56" s="12">
        <v>0</v>
      </c>
      <c r="V56" s="12">
        <v>0</v>
      </c>
      <c r="W56" s="12">
        <v>0</v>
      </c>
    </row>
    <row r="57" spans="1:23" x14ac:dyDescent="0.35">
      <c r="A57" s="23" t="s">
        <v>23</v>
      </c>
      <c r="B57" s="16" t="s">
        <v>221</v>
      </c>
      <c r="C57" s="7" t="s">
        <v>222</v>
      </c>
      <c r="D57" s="8">
        <v>311067</v>
      </c>
      <c r="E57" s="7"/>
      <c r="F57" s="7" t="s">
        <v>223</v>
      </c>
      <c r="G57" s="7" t="s">
        <v>55</v>
      </c>
      <c r="H57" s="7" t="s">
        <v>49</v>
      </c>
      <c r="I57" s="7" t="s">
        <v>28</v>
      </c>
      <c r="J57" s="7" t="s">
        <v>40</v>
      </c>
      <c r="K57" s="7" t="s">
        <v>80</v>
      </c>
      <c r="L57" s="7" t="s">
        <v>42</v>
      </c>
      <c r="M57" s="7" t="s">
        <v>224</v>
      </c>
      <c r="N57" s="9" t="s">
        <v>32</v>
      </c>
      <c r="O57" s="9" t="s">
        <v>51</v>
      </c>
      <c r="P57" s="9" t="s">
        <v>34</v>
      </c>
      <c r="Q57" s="10" t="str">
        <f>IF(IDMaster[[#This Row],[Consumption]]="Consumption",IDMaster[[#This Row],[Consumption]],IDMaster[[#This Row],[Basis]])</f>
        <v>Revenue</v>
      </c>
      <c r="R57" s="7" t="str">
        <f>IDMaster[[#This Row],[Supported Group]]&amp;"."&amp;IDMaster[[#This Row],[Basis]]</f>
        <v>IT Infrastructure.Revenue</v>
      </c>
      <c r="S57" s="11">
        <v>0.42185161428265983</v>
      </c>
      <c r="T57" s="12">
        <v>0.57814838571734017</v>
      </c>
      <c r="U57" s="12">
        <v>0</v>
      </c>
      <c r="V57" s="12">
        <v>0</v>
      </c>
      <c r="W57" s="12">
        <v>0</v>
      </c>
    </row>
    <row r="58" spans="1:23" x14ac:dyDescent="0.35">
      <c r="A58" s="23" t="s">
        <v>23</v>
      </c>
      <c r="B58" s="7" t="s">
        <v>225</v>
      </c>
      <c r="C58" s="7" t="s">
        <v>226</v>
      </c>
      <c r="D58" s="8">
        <v>259622</v>
      </c>
      <c r="E58" s="16" t="s">
        <v>227</v>
      </c>
      <c r="F58" s="7" t="s">
        <v>228</v>
      </c>
      <c r="G58" s="7" t="s">
        <v>48</v>
      </c>
      <c r="H58" s="7" t="s">
        <v>49</v>
      </c>
      <c r="I58" s="7" t="s">
        <v>28</v>
      </c>
      <c r="J58" s="7" t="s">
        <v>40</v>
      </c>
      <c r="K58" s="7" t="s">
        <v>80</v>
      </c>
      <c r="L58" s="7" t="s">
        <v>42</v>
      </c>
      <c r="M58" s="7" t="s">
        <v>229</v>
      </c>
      <c r="N58" s="9" t="s">
        <v>92</v>
      </c>
      <c r="O58" s="9" t="s">
        <v>230</v>
      </c>
      <c r="P58" s="9" t="s">
        <v>34</v>
      </c>
      <c r="Q58" s="10" t="str">
        <f>IF(IDMaster[[#This Row],[Consumption]]="Consumption",IDMaster[[#This Row],[Consumption]],IDMaster[[#This Row],[Basis]])</f>
        <v>Total Headcount</v>
      </c>
      <c r="R58" s="7" t="str">
        <f>IDMaster[[#This Row],[Supported Group]]&amp;"."&amp;IDMaster[[#This Row],[Basis]]</f>
        <v>Brigit.Total Headcount</v>
      </c>
      <c r="S58" s="11">
        <v>0.69106036166058238</v>
      </c>
      <c r="T58" s="12">
        <v>0.14347567705238135</v>
      </c>
      <c r="U58" s="12">
        <v>0</v>
      </c>
      <c r="V58" s="12">
        <v>0</v>
      </c>
      <c r="W58" s="12">
        <v>0.16546396128703625</v>
      </c>
    </row>
    <row r="59" spans="1:23" x14ac:dyDescent="0.35">
      <c r="A59" s="23" t="s">
        <v>23</v>
      </c>
      <c r="B59" s="16" t="s">
        <v>231</v>
      </c>
      <c r="C59" s="7" t="s">
        <v>232</v>
      </c>
      <c r="D59" s="8">
        <v>100410</v>
      </c>
      <c r="E59" s="16" t="s">
        <v>233</v>
      </c>
      <c r="F59" s="7" t="s">
        <v>234</v>
      </c>
      <c r="G59" s="7" t="s">
        <v>97</v>
      </c>
      <c r="H59" s="7" t="s">
        <v>49</v>
      </c>
      <c r="I59" s="7" t="s">
        <v>28</v>
      </c>
      <c r="J59" s="7" t="s">
        <v>178</v>
      </c>
      <c r="K59" s="7" t="s">
        <v>63</v>
      </c>
      <c r="L59" s="7" t="s">
        <v>30</v>
      </c>
      <c r="M59" s="7" t="s">
        <v>235</v>
      </c>
      <c r="N59" s="9" t="s">
        <v>32</v>
      </c>
      <c r="O59" s="9" t="s">
        <v>99</v>
      </c>
      <c r="P59" s="9" t="s">
        <v>34</v>
      </c>
      <c r="Q59" s="10" t="str">
        <f>IF(IDMaster[[#This Row],[Consumption]]="Consumption",IDMaster[[#This Row],[Consumption]],IDMaster[[#This Row],[Basis]])</f>
        <v>Revenue</v>
      </c>
      <c r="R59" s="7" t="str">
        <f>IDMaster[[#This Row],[Supported Group]]&amp;"."&amp;IDMaster[[#This Row],[Basis]]</f>
        <v>Security.Revenue</v>
      </c>
      <c r="S59" s="11">
        <v>0.42185161428265983</v>
      </c>
      <c r="T59" s="12">
        <v>0.57814838571734017</v>
      </c>
      <c r="U59" s="12">
        <v>0</v>
      </c>
      <c r="V59" s="12">
        <v>0</v>
      </c>
      <c r="W59" s="12">
        <v>0</v>
      </c>
    </row>
    <row r="60" spans="1:23" x14ac:dyDescent="0.35">
      <c r="A60" s="23" t="s">
        <v>23</v>
      </c>
      <c r="B60" s="16" t="s">
        <v>236</v>
      </c>
      <c r="C60" s="7" t="s">
        <v>237</v>
      </c>
      <c r="D60" s="8">
        <v>9427</v>
      </c>
      <c r="E60" s="16" t="s">
        <v>233</v>
      </c>
      <c r="F60" s="7" t="s">
        <v>238</v>
      </c>
      <c r="G60" s="7" t="s">
        <v>97</v>
      </c>
      <c r="H60" s="7" t="s">
        <v>49</v>
      </c>
      <c r="I60" s="7" t="s">
        <v>28</v>
      </c>
      <c r="J60" s="7" t="s">
        <v>178</v>
      </c>
      <c r="K60" s="7" t="s">
        <v>63</v>
      </c>
      <c r="L60" s="7" t="s">
        <v>30</v>
      </c>
      <c r="M60" s="7" t="s">
        <v>239</v>
      </c>
      <c r="N60" s="9" t="s">
        <v>32</v>
      </c>
      <c r="O60" s="9" t="s">
        <v>230</v>
      </c>
      <c r="P60" s="9" t="s">
        <v>34</v>
      </c>
      <c r="Q60" s="10" t="str">
        <f>IF(IDMaster[[#This Row],[Consumption]]="Consumption",IDMaster[[#This Row],[Consumption]],IDMaster[[#This Row],[Basis]])</f>
        <v>Revenue</v>
      </c>
      <c r="R60" s="7" t="str">
        <f>IDMaster[[#This Row],[Supported Group]]&amp;"."&amp;IDMaster[[#This Row],[Basis]]</f>
        <v>Brigit.Revenue</v>
      </c>
      <c r="S60" s="11">
        <v>0.42185161428265983</v>
      </c>
      <c r="T60" s="12">
        <v>0.57814838571734017</v>
      </c>
      <c r="U60" s="12">
        <v>0</v>
      </c>
      <c r="V60" s="12">
        <v>0</v>
      </c>
      <c r="W60" s="12">
        <v>0</v>
      </c>
    </row>
    <row r="61" spans="1:23" x14ac:dyDescent="0.35">
      <c r="A61" s="23" t="s">
        <v>23</v>
      </c>
      <c r="B61" s="16" t="s">
        <v>240</v>
      </c>
      <c r="C61" s="7" t="s">
        <v>241</v>
      </c>
      <c r="D61" s="8">
        <v>385624</v>
      </c>
      <c r="E61" s="16" t="s">
        <v>233</v>
      </c>
      <c r="F61" s="7" t="s">
        <v>242</v>
      </c>
      <c r="G61" s="7" t="s">
        <v>97</v>
      </c>
      <c r="H61" s="7" t="s">
        <v>49</v>
      </c>
      <c r="I61" s="7" t="s">
        <v>28</v>
      </c>
      <c r="J61" s="7" t="s">
        <v>178</v>
      </c>
      <c r="K61" s="7" t="s">
        <v>63</v>
      </c>
      <c r="L61" s="7" t="s">
        <v>30</v>
      </c>
      <c r="M61" s="7" t="s">
        <v>243</v>
      </c>
      <c r="N61" s="9" t="s">
        <v>32</v>
      </c>
      <c r="O61" s="9" t="s">
        <v>230</v>
      </c>
      <c r="P61" s="9" t="s">
        <v>34</v>
      </c>
      <c r="Q61" s="10" t="str">
        <f>IF(IDMaster[[#This Row],[Consumption]]="Consumption",IDMaster[[#This Row],[Consumption]],IDMaster[[#This Row],[Basis]])</f>
        <v>Revenue</v>
      </c>
      <c r="R61" s="7" t="str">
        <f>IDMaster[[#This Row],[Supported Group]]&amp;"."&amp;IDMaster[[#This Row],[Basis]]</f>
        <v>Brigit.Revenue</v>
      </c>
      <c r="S61" s="11">
        <v>0.42185161428265983</v>
      </c>
      <c r="T61" s="12">
        <v>0.57814838571734017</v>
      </c>
      <c r="U61" s="12">
        <v>0</v>
      </c>
      <c r="V61" s="12">
        <v>0</v>
      </c>
      <c r="W61" s="12">
        <v>0</v>
      </c>
    </row>
    <row r="62" spans="1:23" x14ac:dyDescent="0.35">
      <c r="A62" s="23" t="s">
        <v>23</v>
      </c>
      <c r="B62" s="16" t="s">
        <v>244</v>
      </c>
      <c r="C62" s="7" t="s">
        <v>169</v>
      </c>
      <c r="D62" s="8"/>
      <c r="E62" s="16" t="s">
        <v>227</v>
      </c>
      <c r="F62" s="7" t="s">
        <v>245</v>
      </c>
      <c r="G62" s="7" t="s">
        <v>48</v>
      </c>
      <c r="H62" s="7" t="s">
        <v>49</v>
      </c>
      <c r="I62" s="7" t="s">
        <v>28</v>
      </c>
      <c r="J62" s="7" t="s">
        <v>178</v>
      </c>
      <c r="K62" s="7" t="s">
        <v>63</v>
      </c>
      <c r="L62" s="7" t="s">
        <v>30</v>
      </c>
      <c r="M62" s="7" t="s">
        <v>246</v>
      </c>
      <c r="N62" s="9" t="s">
        <v>32</v>
      </c>
      <c r="O62" s="9" t="s">
        <v>67</v>
      </c>
      <c r="P62" s="9" t="s">
        <v>34</v>
      </c>
      <c r="Q62" s="10" t="str">
        <f>IF(IDMaster[[#This Row],[Consumption]]="Consumption",IDMaster[[#This Row],[Consumption]],IDMaster[[#This Row],[Basis]])</f>
        <v>Revenue</v>
      </c>
      <c r="R62" s="7" t="str">
        <f>IDMaster[[#This Row],[Supported Group]]&amp;"."&amp;IDMaster[[#This Row],[Basis]]</f>
        <v>IT Corporate.Revenue</v>
      </c>
      <c r="S62" s="11">
        <v>0.42185161428265983</v>
      </c>
      <c r="T62" s="12">
        <v>0.57814838571734017</v>
      </c>
      <c r="U62" s="12">
        <v>0</v>
      </c>
      <c r="V62" s="12">
        <v>0</v>
      </c>
      <c r="W62" s="12">
        <v>0</v>
      </c>
    </row>
    <row r="63" spans="1:23" x14ac:dyDescent="0.35">
      <c r="A63" s="23" t="s">
        <v>23</v>
      </c>
      <c r="B63" s="16" t="s">
        <v>247</v>
      </c>
      <c r="C63" s="7" t="s">
        <v>169</v>
      </c>
      <c r="D63" s="8"/>
      <c r="E63" s="16" t="s">
        <v>227</v>
      </c>
      <c r="F63" s="7" t="s">
        <v>248</v>
      </c>
      <c r="G63" s="7" t="s">
        <v>48</v>
      </c>
      <c r="H63" s="7" t="s">
        <v>49</v>
      </c>
      <c r="I63" s="7" t="s">
        <v>28</v>
      </c>
      <c r="J63" s="7" t="s">
        <v>178</v>
      </c>
      <c r="K63" s="7" t="s">
        <v>63</v>
      </c>
      <c r="L63" s="7" t="s">
        <v>30</v>
      </c>
      <c r="M63" s="7" t="s">
        <v>249</v>
      </c>
      <c r="N63" s="9" t="s">
        <v>32</v>
      </c>
      <c r="O63" s="9" t="s">
        <v>67</v>
      </c>
      <c r="P63" s="9" t="s">
        <v>34</v>
      </c>
      <c r="Q63" s="10" t="str">
        <f>IF(IDMaster[[#This Row],[Consumption]]="Consumption",IDMaster[[#This Row],[Consumption]],IDMaster[[#This Row],[Basis]])</f>
        <v>Revenue</v>
      </c>
      <c r="R63" s="7" t="str">
        <f>IDMaster[[#This Row],[Supported Group]]&amp;"."&amp;IDMaster[[#This Row],[Basis]]</f>
        <v>IT Corporate.Revenue</v>
      </c>
      <c r="S63" s="11">
        <v>0.42185161428265983</v>
      </c>
      <c r="T63" s="12">
        <v>0.57814838571734017</v>
      </c>
      <c r="U63" s="12">
        <v>0</v>
      </c>
      <c r="V63" s="12">
        <v>0</v>
      </c>
      <c r="W63" s="12">
        <v>0</v>
      </c>
    </row>
    <row r="64" spans="1:23" x14ac:dyDescent="0.35">
      <c r="A64" s="23" t="s">
        <v>23</v>
      </c>
      <c r="B64" s="16" t="s">
        <v>250</v>
      </c>
      <c r="C64" s="7" t="s">
        <v>169</v>
      </c>
      <c r="D64" s="8"/>
      <c r="E64" s="16" t="s">
        <v>227</v>
      </c>
      <c r="F64" s="7" t="s">
        <v>228</v>
      </c>
      <c r="G64" s="7" t="s">
        <v>48</v>
      </c>
      <c r="H64" s="7" t="s">
        <v>49</v>
      </c>
      <c r="I64" s="7" t="s">
        <v>28</v>
      </c>
      <c r="J64" s="7" t="s">
        <v>137</v>
      </c>
      <c r="K64" s="7" t="s">
        <v>63</v>
      </c>
      <c r="L64" s="7" t="s">
        <v>30</v>
      </c>
      <c r="M64" s="7" t="s">
        <v>251</v>
      </c>
      <c r="N64" s="9" t="s">
        <v>32</v>
      </c>
      <c r="O64" s="9" t="s">
        <v>230</v>
      </c>
      <c r="P64" s="9" t="s">
        <v>34</v>
      </c>
      <c r="Q64" s="10" t="str">
        <f>IF(IDMaster[[#This Row],[Consumption]]="Consumption",IDMaster[[#This Row],[Consumption]],IDMaster[[#This Row],[Basis]])</f>
        <v>Revenue</v>
      </c>
      <c r="R64" s="7" t="str">
        <f>IDMaster[[#This Row],[Supported Group]]&amp;"."&amp;IDMaster[[#This Row],[Basis]]</f>
        <v>Brigit.Revenue</v>
      </c>
      <c r="S64" s="11">
        <v>0.42185161428265983</v>
      </c>
      <c r="T64" s="12">
        <v>0.57814838571734017</v>
      </c>
      <c r="U64" s="12">
        <v>0</v>
      </c>
      <c r="V64" s="12">
        <v>0</v>
      </c>
      <c r="W64" s="12">
        <v>0</v>
      </c>
    </row>
    <row r="65" spans="1:23" x14ac:dyDescent="0.35">
      <c r="A65" s="23" t="s">
        <v>23</v>
      </c>
      <c r="B65" s="16" t="s">
        <v>252</v>
      </c>
      <c r="C65" s="7" t="s">
        <v>89</v>
      </c>
      <c r="D65" s="8">
        <v>251595</v>
      </c>
      <c r="E65" s="16" t="s">
        <v>227</v>
      </c>
      <c r="F65" s="7" t="s">
        <v>253</v>
      </c>
      <c r="G65" s="7" t="s">
        <v>48</v>
      </c>
      <c r="H65" s="7" t="s">
        <v>49</v>
      </c>
      <c r="I65" s="7" t="s">
        <v>28</v>
      </c>
      <c r="J65" s="7" t="s">
        <v>40</v>
      </c>
      <c r="K65" s="7" t="s">
        <v>80</v>
      </c>
      <c r="L65" s="7" t="s">
        <v>42</v>
      </c>
      <c r="M65" s="7" t="s">
        <v>254</v>
      </c>
      <c r="N65" s="9" t="s">
        <v>92</v>
      </c>
      <c r="O65" s="9" t="s">
        <v>67</v>
      </c>
      <c r="P65" s="9" t="s">
        <v>34</v>
      </c>
      <c r="Q65" s="10" t="str">
        <f>IF(IDMaster[[#This Row],[Consumption]]="Consumption",IDMaster[[#This Row],[Consumption]],IDMaster[[#This Row],[Basis]])</f>
        <v>Total Headcount</v>
      </c>
      <c r="R65" s="7" t="str">
        <f>IDMaster[[#This Row],[Supported Group]]&amp;"."&amp;IDMaster[[#This Row],[Basis]]</f>
        <v>IT Corporate.Total Headcount</v>
      </c>
      <c r="S65" s="11">
        <v>0.69106036166058238</v>
      </c>
      <c r="T65" s="12">
        <v>0.14347567705238135</v>
      </c>
      <c r="U65" s="12">
        <v>0</v>
      </c>
      <c r="V65" s="12">
        <v>0</v>
      </c>
      <c r="W65" s="12">
        <v>0.16546396128703625</v>
      </c>
    </row>
    <row r="66" spans="1:23" x14ac:dyDescent="0.35">
      <c r="A66" s="23" t="s">
        <v>23</v>
      </c>
      <c r="B66" s="16" t="s">
        <v>255</v>
      </c>
      <c r="C66" s="7" t="s">
        <v>226</v>
      </c>
      <c r="D66" s="8">
        <v>259622</v>
      </c>
      <c r="E66" s="16" t="s">
        <v>227</v>
      </c>
      <c r="F66" s="7" t="s">
        <v>256</v>
      </c>
      <c r="G66" s="7" t="s">
        <v>48</v>
      </c>
      <c r="H66" s="7" t="s">
        <v>49</v>
      </c>
      <c r="I66" s="7" t="s">
        <v>28</v>
      </c>
      <c r="J66" s="7" t="s">
        <v>40</v>
      </c>
      <c r="K66" s="7" t="s">
        <v>80</v>
      </c>
      <c r="L66" s="7" t="s">
        <v>42</v>
      </c>
      <c r="M66" s="7" t="s">
        <v>257</v>
      </c>
      <c r="N66" s="9" t="s">
        <v>92</v>
      </c>
      <c r="O66" s="9" t="s">
        <v>67</v>
      </c>
      <c r="P66" s="9" t="s">
        <v>34</v>
      </c>
      <c r="Q66" s="10" t="str">
        <f>IF(IDMaster[[#This Row],[Consumption]]="Consumption",IDMaster[[#This Row],[Consumption]],IDMaster[[#This Row],[Basis]])</f>
        <v>Total Headcount</v>
      </c>
      <c r="R66" s="7" t="str">
        <f>IDMaster[[#This Row],[Supported Group]]&amp;"."&amp;IDMaster[[#This Row],[Basis]]</f>
        <v>IT Corporate.Total Headcount</v>
      </c>
      <c r="S66" s="11">
        <v>0.69106036166058238</v>
      </c>
      <c r="T66" s="12">
        <v>0.14347567705238135</v>
      </c>
      <c r="U66" s="12">
        <v>0</v>
      </c>
      <c r="V66" s="12">
        <v>0</v>
      </c>
      <c r="W66" s="12">
        <v>0.16546396128703625</v>
      </c>
    </row>
    <row r="67" spans="1:23" x14ac:dyDescent="0.35">
      <c r="A67" s="23" t="s">
        <v>23</v>
      </c>
      <c r="B67" s="16" t="s">
        <v>258</v>
      </c>
      <c r="C67" s="7" t="s">
        <v>259</v>
      </c>
      <c r="D67" s="8"/>
      <c r="E67" s="16" t="s">
        <v>260</v>
      </c>
      <c r="F67" s="7" t="s">
        <v>261</v>
      </c>
      <c r="G67" s="7" t="s">
        <v>48</v>
      </c>
      <c r="H67" s="7" t="s">
        <v>49</v>
      </c>
      <c r="I67" s="7" t="s">
        <v>28</v>
      </c>
      <c r="J67" s="7" t="s">
        <v>40</v>
      </c>
      <c r="K67" s="7" t="s">
        <v>80</v>
      </c>
      <c r="L67" s="7" t="s">
        <v>42</v>
      </c>
      <c r="M67" s="7" t="s">
        <v>262</v>
      </c>
      <c r="N67" s="9" t="s">
        <v>32</v>
      </c>
      <c r="O67" s="9" t="s">
        <v>67</v>
      </c>
      <c r="P67" s="9" t="s">
        <v>34</v>
      </c>
      <c r="Q67" s="10" t="str">
        <f>IF(IDMaster[[#This Row],[Consumption]]="Consumption",IDMaster[[#This Row],[Consumption]],IDMaster[[#This Row],[Basis]])</f>
        <v>Revenue</v>
      </c>
      <c r="R67" s="7" t="str">
        <f>IDMaster[[#This Row],[Supported Group]]&amp;"."&amp;IDMaster[[#This Row],[Basis]]</f>
        <v>IT Corporate.Revenue</v>
      </c>
      <c r="S67" s="11">
        <v>0.42185161428265983</v>
      </c>
      <c r="T67" s="12">
        <v>0.57814838571734017</v>
      </c>
      <c r="U67" s="12">
        <v>0</v>
      </c>
      <c r="V67" s="12">
        <v>0</v>
      </c>
      <c r="W67" s="12">
        <v>0</v>
      </c>
    </row>
    <row r="68" spans="1:23" x14ac:dyDescent="0.35">
      <c r="A68" s="23" t="s">
        <v>23</v>
      </c>
      <c r="B68" s="16" t="s">
        <v>263</v>
      </c>
      <c r="C68" s="7" t="s">
        <v>264</v>
      </c>
      <c r="D68" s="8"/>
      <c r="E68" s="16" t="s">
        <v>265</v>
      </c>
      <c r="F68" s="7" t="s">
        <v>266</v>
      </c>
      <c r="G68" s="7" t="s">
        <v>48</v>
      </c>
      <c r="H68" s="7" t="s">
        <v>49</v>
      </c>
      <c r="I68" s="7" t="s">
        <v>28</v>
      </c>
      <c r="J68" s="7" t="s">
        <v>267</v>
      </c>
      <c r="K68" s="7" t="s">
        <v>80</v>
      </c>
      <c r="L68" s="7" t="s">
        <v>42</v>
      </c>
      <c r="M68" s="7" t="s">
        <v>268</v>
      </c>
      <c r="N68" s="9" t="s">
        <v>32</v>
      </c>
      <c r="O68" s="9" t="s">
        <v>67</v>
      </c>
      <c r="P68" s="9" t="s">
        <v>34</v>
      </c>
      <c r="Q68" s="10" t="str">
        <f>IF(IDMaster[[#This Row],[Consumption]]="Consumption",IDMaster[[#This Row],[Consumption]],IDMaster[[#This Row],[Basis]])</f>
        <v>Revenue</v>
      </c>
      <c r="R68" s="7" t="str">
        <f>IDMaster[[#This Row],[Supported Group]]&amp;"."&amp;IDMaster[[#This Row],[Basis]]</f>
        <v>IT Corporate.Revenue</v>
      </c>
      <c r="S68" s="11">
        <v>0.42185161428265983</v>
      </c>
      <c r="T68" s="12">
        <v>0.57814838571734017</v>
      </c>
      <c r="U68" s="12">
        <v>0</v>
      </c>
      <c r="V68" s="12">
        <v>0</v>
      </c>
      <c r="W68" s="12">
        <v>0</v>
      </c>
    </row>
    <row r="69" spans="1:23" x14ac:dyDescent="0.35">
      <c r="A69" s="7" t="s">
        <v>23</v>
      </c>
      <c r="B69" s="16" t="s">
        <v>269</v>
      </c>
      <c r="C69" s="15" t="s">
        <v>116</v>
      </c>
      <c r="D69" s="8">
        <v>250849</v>
      </c>
      <c r="E69" s="16" t="s">
        <v>270</v>
      </c>
      <c r="F69" s="7" t="s">
        <v>271</v>
      </c>
      <c r="G69" s="7" t="s">
        <v>72</v>
      </c>
      <c r="H69" s="7" t="s">
        <v>39</v>
      </c>
      <c r="I69" s="7" t="s">
        <v>28</v>
      </c>
      <c r="J69" s="7" t="s">
        <v>40</v>
      </c>
      <c r="K69" s="7" t="s">
        <v>80</v>
      </c>
      <c r="L69" s="7" t="s">
        <v>42</v>
      </c>
      <c r="M69" s="7"/>
      <c r="N69" s="9" t="s">
        <v>32</v>
      </c>
      <c r="O69" s="9" t="s">
        <v>272</v>
      </c>
      <c r="P69" s="9" t="s">
        <v>34</v>
      </c>
      <c r="Q69" s="10" t="str">
        <f>IF(IDMaster[[#This Row],[Consumption]]="Consumption",IDMaster[[#This Row],[Consumption]],IDMaster[[#This Row],[Basis]])</f>
        <v>Revenue</v>
      </c>
      <c r="R69" s="7" t="str">
        <f>IDMaster[[#This Row],[Supported Group]]&amp;"."&amp;IDMaster[[#This Row],[Basis]]</f>
        <v>eCommerce.Revenue</v>
      </c>
      <c r="S69" s="11">
        <v>0.42185161428265983</v>
      </c>
      <c r="T69" s="12">
        <v>0.57814838571734017</v>
      </c>
      <c r="U69" s="12">
        <v>0</v>
      </c>
      <c r="V69" s="12">
        <v>0</v>
      </c>
      <c r="W69" s="12">
        <v>0</v>
      </c>
    </row>
    <row r="70" spans="1:23" x14ac:dyDescent="0.35">
      <c r="A70" s="7" t="s">
        <v>23</v>
      </c>
      <c r="B70" s="16" t="s">
        <v>273</v>
      </c>
      <c r="C70" s="15" t="s">
        <v>116</v>
      </c>
      <c r="D70" s="8">
        <v>250849</v>
      </c>
      <c r="E70" s="16" t="s">
        <v>270</v>
      </c>
      <c r="F70" s="7" t="s">
        <v>274</v>
      </c>
      <c r="G70" s="7" t="s">
        <v>72</v>
      </c>
      <c r="H70" s="7" t="s">
        <v>39</v>
      </c>
      <c r="I70" s="7" t="s">
        <v>123</v>
      </c>
      <c r="J70" s="7" t="s">
        <v>40</v>
      </c>
      <c r="K70" s="7" t="s">
        <v>80</v>
      </c>
      <c r="L70" s="7" t="s">
        <v>42</v>
      </c>
      <c r="M70" s="7"/>
      <c r="N70" s="9" t="s">
        <v>126</v>
      </c>
      <c r="O70" s="9" t="s">
        <v>272</v>
      </c>
      <c r="P70" s="9" t="s">
        <v>34</v>
      </c>
      <c r="Q70" s="10" t="str">
        <f>IF(IDMaster[[#This Row],[Consumption]]="Consumption",IDMaster[[#This Row],[Consumption]],IDMaster[[#This Row],[Basis]])</f>
        <v>RAC Direct</v>
      </c>
      <c r="R70" s="7" t="str">
        <f>IDMaster[[#This Row],[Supported Group]]&amp;"."&amp;IDMaster[[#This Row],[Basis]]</f>
        <v>eCommerce.RAC Direct</v>
      </c>
      <c r="S70" s="11">
        <v>1</v>
      </c>
      <c r="T70" s="12">
        <v>0</v>
      </c>
      <c r="U70" s="12">
        <v>0</v>
      </c>
      <c r="V70" s="12">
        <v>0</v>
      </c>
      <c r="W70" s="12">
        <v>0</v>
      </c>
    </row>
    <row r="71" spans="1:23" x14ac:dyDescent="0.35">
      <c r="A71" s="7" t="s">
        <v>23</v>
      </c>
      <c r="B71" s="16" t="s">
        <v>275</v>
      </c>
      <c r="C71" s="15" t="s">
        <v>116</v>
      </c>
      <c r="D71" s="8">
        <v>250849</v>
      </c>
      <c r="E71" s="16" t="s">
        <v>270</v>
      </c>
      <c r="F71" s="7" t="s">
        <v>276</v>
      </c>
      <c r="G71" s="7" t="s">
        <v>72</v>
      </c>
      <c r="H71" s="7" t="s">
        <v>39</v>
      </c>
      <c r="I71" s="7" t="s">
        <v>123</v>
      </c>
      <c r="J71" s="7" t="s">
        <v>40</v>
      </c>
      <c r="K71" s="7" t="s">
        <v>80</v>
      </c>
      <c r="L71" s="7" t="s">
        <v>42</v>
      </c>
      <c r="M71" s="7"/>
      <c r="N71" s="9" t="s">
        <v>32</v>
      </c>
      <c r="O71" s="9" t="s">
        <v>272</v>
      </c>
      <c r="P71" s="9" t="s">
        <v>34</v>
      </c>
      <c r="Q71" s="10" t="str">
        <f>IF(IDMaster[[#This Row],[Consumption]]="Consumption",IDMaster[[#This Row],[Consumption]],IDMaster[[#This Row],[Basis]])</f>
        <v>Revenue</v>
      </c>
      <c r="R71" s="7" t="str">
        <f>IDMaster[[#This Row],[Supported Group]]&amp;"."&amp;IDMaster[[#This Row],[Basis]]</f>
        <v>eCommerce.Revenue</v>
      </c>
      <c r="S71" s="11">
        <v>0.42185161428265983</v>
      </c>
      <c r="T71" s="12">
        <v>0.57814838571734017</v>
      </c>
      <c r="U71" s="12">
        <v>0</v>
      </c>
      <c r="V71" s="12">
        <v>0</v>
      </c>
      <c r="W71" s="12">
        <v>0</v>
      </c>
    </row>
    <row r="72" spans="1:23" x14ac:dyDescent="0.35">
      <c r="A72" s="7" t="s">
        <v>23</v>
      </c>
      <c r="B72" s="16" t="s">
        <v>277</v>
      </c>
      <c r="C72" s="15" t="s">
        <v>116</v>
      </c>
      <c r="D72" s="8">
        <v>250849</v>
      </c>
      <c r="E72" s="16" t="s">
        <v>270</v>
      </c>
      <c r="F72" s="7" t="s">
        <v>278</v>
      </c>
      <c r="G72" s="7" t="s">
        <v>72</v>
      </c>
      <c r="H72" s="7" t="s">
        <v>39</v>
      </c>
      <c r="I72" s="7" t="s">
        <v>123</v>
      </c>
      <c r="J72" s="7" t="s">
        <v>40</v>
      </c>
      <c r="K72" s="7" t="s">
        <v>80</v>
      </c>
      <c r="L72" s="7" t="s">
        <v>42</v>
      </c>
      <c r="M72" s="7"/>
      <c r="N72" s="9" t="s">
        <v>32</v>
      </c>
      <c r="O72" s="9" t="s">
        <v>272</v>
      </c>
      <c r="P72" s="9" t="s">
        <v>34</v>
      </c>
      <c r="Q72" s="10" t="str">
        <f>IF(IDMaster[[#This Row],[Consumption]]="Consumption",IDMaster[[#This Row],[Consumption]],IDMaster[[#This Row],[Basis]])</f>
        <v>Revenue</v>
      </c>
      <c r="R72" s="7" t="str">
        <f>IDMaster[[#This Row],[Supported Group]]&amp;"."&amp;IDMaster[[#This Row],[Basis]]</f>
        <v>eCommerce.Revenue</v>
      </c>
      <c r="S72" s="11">
        <v>0.42185161428265983</v>
      </c>
      <c r="T72" s="12">
        <v>0.57814838571734017</v>
      </c>
      <c r="U72" s="12">
        <v>0</v>
      </c>
      <c r="V72" s="12">
        <v>0</v>
      </c>
      <c r="W72" s="12">
        <v>0</v>
      </c>
    </row>
    <row r="73" spans="1:23" x14ac:dyDescent="0.35">
      <c r="A73" s="16" t="s">
        <v>23</v>
      </c>
      <c r="B73" s="16" t="s">
        <v>279</v>
      </c>
      <c r="C73" s="7" t="s">
        <v>280</v>
      </c>
      <c r="D73" s="18">
        <v>365729</v>
      </c>
      <c r="E73" s="16" t="s">
        <v>46</v>
      </c>
      <c r="F73" s="7" t="s">
        <v>281</v>
      </c>
      <c r="G73" s="7" t="s">
        <v>48</v>
      </c>
      <c r="H73" s="16" t="s">
        <v>27</v>
      </c>
      <c r="I73" s="7" t="s">
        <v>28</v>
      </c>
      <c r="J73" s="16" t="s">
        <v>62</v>
      </c>
      <c r="K73" s="16" t="s">
        <v>63</v>
      </c>
      <c r="L73" s="16" t="s">
        <v>30</v>
      </c>
      <c r="M73" s="16" t="s">
        <v>43</v>
      </c>
      <c r="N73" s="9" t="s">
        <v>32</v>
      </c>
      <c r="O73" s="9" t="s">
        <v>64</v>
      </c>
      <c r="P73" s="9" t="s">
        <v>34</v>
      </c>
      <c r="Q73" s="10" t="str">
        <f>IF(IDMaster[[#This Row],[Consumption]]="Consumption",IDMaster[[#This Row],[Consumption]],IDMaster[[#This Row],[Basis]])</f>
        <v>Revenue</v>
      </c>
      <c r="R73" s="7" t="str">
        <f>IDMaster[[#This Row],[Supported Group]]&amp;"."&amp;IDMaster[[#This Row],[Basis]]</f>
        <v>Support.Revenue</v>
      </c>
      <c r="S73" s="11">
        <v>0.42185161428265983</v>
      </c>
      <c r="T73" s="12">
        <v>0.57814838571734017</v>
      </c>
      <c r="U73" s="12">
        <v>0</v>
      </c>
      <c r="V73" s="12">
        <v>0</v>
      </c>
      <c r="W73" s="12">
        <v>0</v>
      </c>
    </row>
    <row r="74" spans="1:23" x14ac:dyDescent="0.35">
      <c r="A74" s="16" t="s">
        <v>23</v>
      </c>
      <c r="B74" s="16" t="s">
        <v>282</v>
      </c>
      <c r="C74" s="7" t="s">
        <v>280</v>
      </c>
      <c r="D74" s="18">
        <v>365729</v>
      </c>
      <c r="E74" s="16" t="s">
        <v>46</v>
      </c>
      <c r="F74" s="7" t="s">
        <v>281</v>
      </c>
      <c r="G74" s="7" t="s">
        <v>48</v>
      </c>
      <c r="H74" s="16" t="s">
        <v>27</v>
      </c>
      <c r="I74" s="7" t="s">
        <v>123</v>
      </c>
      <c r="J74" s="16" t="s">
        <v>62</v>
      </c>
      <c r="K74" s="16" t="s">
        <v>63</v>
      </c>
      <c r="L74" s="16" t="s">
        <v>30</v>
      </c>
      <c r="M74" s="16" t="s">
        <v>43</v>
      </c>
      <c r="N74" s="9" t="s">
        <v>32</v>
      </c>
      <c r="O74" s="9" t="s">
        <v>64</v>
      </c>
      <c r="P74" s="14" t="s">
        <v>15</v>
      </c>
      <c r="Q74" s="10" t="str">
        <f>IF(IDMaster[[#This Row],[Consumption]]="Consumption",IDMaster[[#This Row],[Consumption]],IDMaster[[#This Row],[Basis]])</f>
        <v>Consumption</v>
      </c>
      <c r="R74" s="7" t="str">
        <f>IDMaster[[#This Row],[Supported Group]]&amp;"."&amp;IDMaster[[#This Row],[Basis]]</f>
        <v>Support.Revenue</v>
      </c>
      <c r="S74" s="11">
        <v>0.26838686787846361</v>
      </c>
      <c r="T74" s="12">
        <v>0.26838686787846361</v>
      </c>
      <c r="U74" s="12">
        <v>0</v>
      </c>
      <c r="V74" s="12">
        <v>0</v>
      </c>
      <c r="W74" s="12">
        <v>0.46322626424307284</v>
      </c>
    </row>
    <row r="75" spans="1:23" x14ac:dyDescent="0.35">
      <c r="A75" s="7" t="s">
        <v>23</v>
      </c>
      <c r="B75" s="7" t="s">
        <v>283</v>
      </c>
      <c r="C75" s="7" t="s">
        <v>284</v>
      </c>
      <c r="D75" s="8"/>
      <c r="E75" s="7" t="s">
        <v>284</v>
      </c>
      <c r="F75" s="7" t="s">
        <v>284</v>
      </c>
      <c r="G75" s="7" t="s">
        <v>284</v>
      </c>
      <c r="H75" s="7" t="s">
        <v>284</v>
      </c>
      <c r="I75" s="7" t="s">
        <v>28</v>
      </c>
      <c r="J75" s="7"/>
      <c r="K75" s="7"/>
      <c r="L75" s="7"/>
      <c r="M75" s="7"/>
      <c r="N75" s="9" t="s">
        <v>32</v>
      </c>
      <c r="O75" s="9" t="s">
        <v>141</v>
      </c>
      <c r="P75" s="9" t="s">
        <v>34</v>
      </c>
      <c r="Q75" s="10" t="str">
        <f>IF(IDMaster[[#This Row],[Consumption]]="Consumption",IDMaster[[#This Row],[Consumption]],IDMaster[[#This Row],[Basis]])</f>
        <v>Revenue</v>
      </c>
      <c r="R75" s="7" t="str">
        <f>IDMaster[[#This Row],[Supported Group]]&amp;"."&amp;IDMaster[[#This Row],[Basis]]</f>
        <v>Other.Revenue</v>
      </c>
      <c r="S75" s="11">
        <v>0.42185161428265983</v>
      </c>
      <c r="T75" s="12">
        <v>0.57814838571734017</v>
      </c>
      <c r="U75" s="12">
        <v>0</v>
      </c>
      <c r="V75" s="12">
        <v>0</v>
      </c>
      <c r="W75" s="12">
        <v>0</v>
      </c>
    </row>
    <row r="76" spans="1:23" x14ac:dyDescent="0.35">
      <c r="A76" s="7" t="s">
        <v>23</v>
      </c>
      <c r="B76" s="7" t="s">
        <v>285</v>
      </c>
      <c r="C76" s="7" t="s">
        <v>286</v>
      </c>
      <c r="D76" s="8">
        <v>260532</v>
      </c>
      <c r="E76" s="7" t="s">
        <v>287</v>
      </c>
      <c r="F76" s="7" t="s">
        <v>288</v>
      </c>
      <c r="G76" s="7" t="s">
        <v>48</v>
      </c>
      <c r="H76" s="7" t="s">
        <v>49</v>
      </c>
      <c r="I76" s="7" t="s">
        <v>28</v>
      </c>
      <c r="J76" s="7" t="s">
        <v>40</v>
      </c>
      <c r="K76" s="7" t="s">
        <v>80</v>
      </c>
      <c r="L76" s="7" t="s">
        <v>42</v>
      </c>
      <c r="M76" s="7"/>
      <c r="N76" s="9" t="s">
        <v>32</v>
      </c>
      <c r="O76" s="9" t="s">
        <v>141</v>
      </c>
      <c r="P76" s="9" t="s">
        <v>34</v>
      </c>
      <c r="Q76" s="10" t="str">
        <f>IF(IDMaster[[#This Row],[Consumption]]="Consumption",IDMaster[[#This Row],[Consumption]],IDMaster[[#This Row],[Basis]])</f>
        <v>Revenue</v>
      </c>
      <c r="R76" s="7" t="str">
        <f>IDMaster[[#This Row],[Supported Group]]&amp;"."&amp;IDMaster[[#This Row],[Basis]]</f>
        <v>Other.Revenue</v>
      </c>
      <c r="S76" s="11">
        <v>0.42185161428265983</v>
      </c>
      <c r="T76" s="12">
        <v>0.57814838571734017</v>
      </c>
      <c r="U76" s="12">
        <v>0</v>
      </c>
      <c r="V76" s="12">
        <v>0</v>
      </c>
      <c r="W76" s="12">
        <v>0</v>
      </c>
    </row>
    <row r="77" spans="1:23" x14ac:dyDescent="0.35">
      <c r="A77" s="7" t="s">
        <v>23</v>
      </c>
      <c r="B77" s="7" t="s">
        <v>289</v>
      </c>
      <c r="C77" s="7" t="s">
        <v>290</v>
      </c>
      <c r="D77" s="8">
        <v>317598</v>
      </c>
      <c r="E77" s="7" t="s">
        <v>291</v>
      </c>
      <c r="F77" s="7" t="s">
        <v>292</v>
      </c>
      <c r="G77" s="7" t="s">
        <v>48</v>
      </c>
      <c r="H77" s="7" t="s">
        <v>27</v>
      </c>
      <c r="I77" s="7" t="s">
        <v>28</v>
      </c>
      <c r="J77" s="7" t="s">
        <v>62</v>
      </c>
      <c r="K77" s="7" t="s">
        <v>63</v>
      </c>
      <c r="L77" s="7" t="s">
        <v>30</v>
      </c>
      <c r="M77" s="7" t="s">
        <v>43</v>
      </c>
      <c r="N77" s="9" t="s">
        <v>32</v>
      </c>
      <c r="O77" s="9" t="s">
        <v>64</v>
      </c>
      <c r="P77" s="9" t="s">
        <v>34</v>
      </c>
      <c r="Q77" s="10" t="str">
        <f>IF(IDMaster[[#This Row],[Consumption]]="Consumption",IDMaster[[#This Row],[Consumption]],IDMaster[[#This Row],[Basis]])</f>
        <v>Revenue</v>
      </c>
      <c r="R77" s="7" t="str">
        <f>IDMaster[[#This Row],[Supported Group]]&amp;"."&amp;IDMaster[[#This Row],[Basis]]</f>
        <v>Support.Revenue</v>
      </c>
      <c r="S77" s="11">
        <v>0.42185161428265983</v>
      </c>
      <c r="T77" s="12">
        <v>0.57814838571734017</v>
      </c>
      <c r="U77" s="12">
        <v>0</v>
      </c>
      <c r="V77" s="12">
        <v>0</v>
      </c>
      <c r="W77" s="12">
        <v>0</v>
      </c>
    </row>
    <row r="78" spans="1:23" x14ac:dyDescent="0.35">
      <c r="A78" s="7" t="s">
        <v>23</v>
      </c>
      <c r="B78" s="7" t="s">
        <v>293</v>
      </c>
      <c r="C78" s="7" t="s">
        <v>294</v>
      </c>
      <c r="D78" s="8"/>
      <c r="E78" s="7" t="s">
        <v>295</v>
      </c>
      <c r="F78" s="7" t="s">
        <v>296</v>
      </c>
      <c r="G78" s="7" t="s">
        <v>48</v>
      </c>
      <c r="H78" s="7" t="s">
        <v>27</v>
      </c>
      <c r="I78" s="7" t="s">
        <v>28</v>
      </c>
      <c r="J78" s="7" t="s">
        <v>40</v>
      </c>
      <c r="K78" s="7" t="s">
        <v>80</v>
      </c>
      <c r="L78" s="7" t="s">
        <v>42</v>
      </c>
      <c r="M78" s="7"/>
      <c r="N78" s="9" t="s">
        <v>32</v>
      </c>
      <c r="O78" s="9" t="s">
        <v>141</v>
      </c>
      <c r="P78" s="9" t="s">
        <v>34</v>
      </c>
      <c r="Q78" s="10" t="str">
        <f>IF(IDMaster[[#This Row],[Consumption]]="Consumption",IDMaster[[#This Row],[Consumption]],IDMaster[[#This Row],[Basis]])</f>
        <v>Revenue</v>
      </c>
      <c r="R78" s="7" t="str">
        <f>IDMaster[[#This Row],[Supported Group]]&amp;"."&amp;IDMaster[[#This Row],[Basis]]</f>
        <v>Other.Revenue</v>
      </c>
      <c r="S78" s="11">
        <v>0.42185161428265983</v>
      </c>
      <c r="T78" s="12">
        <v>0.57814838571734017</v>
      </c>
      <c r="U78" s="12">
        <v>0</v>
      </c>
      <c r="V78" s="12">
        <v>0</v>
      </c>
      <c r="W78" s="12">
        <v>0</v>
      </c>
    </row>
    <row r="79" spans="1:23" x14ac:dyDescent="0.35">
      <c r="A79" s="7" t="s">
        <v>23</v>
      </c>
      <c r="B79" s="7" t="s">
        <v>297</v>
      </c>
      <c r="C79" s="7" t="s">
        <v>298</v>
      </c>
      <c r="D79" s="8"/>
      <c r="E79" s="7" t="s">
        <v>295</v>
      </c>
      <c r="F79" s="7" t="s">
        <v>299</v>
      </c>
      <c r="G79" s="7" t="s">
        <v>48</v>
      </c>
      <c r="H79" s="7" t="s">
        <v>49</v>
      </c>
      <c r="I79" s="7" t="s">
        <v>28</v>
      </c>
      <c r="J79" s="7" t="s">
        <v>40</v>
      </c>
      <c r="K79" s="7" t="s">
        <v>80</v>
      </c>
      <c r="L79" s="7" t="s">
        <v>42</v>
      </c>
      <c r="M79" s="7"/>
      <c r="N79" s="9" t="s">
        <v>32</v>
      </c>
      <c r="O79" s="9" t="s">
        <v>141</v>
      </c>
      <c r="P79" s="9" t="s">
        <v>34</v>
      </c>
      <c r="Q79" s="10" t="str">
        <f>IF(IDMaster[[#This Row],[Consumption]]="Consumption",IDMaster[[#This Row],[Consumption]],IDMaster[[#This Row],[Basis]])</f>
        <v>Revenue</v>
      </c>
      <c r="R79" s="7" t="str">
        <f>IDMaster[[#This Row],[Supported Group]]&amp;"."&amp;IDMaster[[#This Row],[Basis]]</f>
        <v>Other.Revenue</v>
      </c>
      <c r="S79" s="11">
        <v>0.42185161428265983</v>
      </c>
      <c r="T79" s="12">
        <v>0.57814838571734017</v>
      </c>
      <c r="U79" s="12">
        <v>0</v>
      </c>
      <c r="V79" s="12">
        <v>0</v>
      </c>
      <c r="W79" s="12">
        <v>0</v>
      </c>
    </row>
    <row r="80" spans="1:23" x14ac:dyDescent="0.35">
      <c r="A80" s="7" t="s">
        <v>23</v>
      </c>
      <c r="B80" s="7" t="s">
        <v>300</v>
      </c>
      <c r="C80" s="7" t="s">
        <v>226</v>
      </c>
      <c r="D80" s="8">
        <v>259622</v>
      </c>
      <c r="E80" s="7" t="s">
        <v>156</v>
      </c>
      <c r="F80" s="7" t="s">
        <v>301</v>
      </c>
      <c r="G80" s="7" t="s">
        <v>103</v>
      </c>
      <c r="H80" s="7" t="s">
        <v>49</v>
      </c>
      <c r="I80" s="7" t="s">
        <v>28</v>
      </c>
      <c r="J80" s="7" t="s">
        <v>40</v>
      </c>
      <c r="K80" s="7" t="s">
        <v>80</v>
      </c>
      <c r="L80" s="7" t="s">
        <v>42</v>
      </c>
      <c r="M80" s="7"/>
      <c r="N80" s="9" t="s">
        <v>92</v>
      </c>
      <c r="O80" s="9" t="s">
        <v>44</v>
      </c>
      <c r="P80" s="9" t="s">
        <v>34</v>
      </c>
      <c r="Q80" s="10" t="str">
        <f>IF(IDMaster[[#This Row],[Consumption]]="Consumption",IDMaster[[#This Row],[Consumption]],IDMaster[[#This Row],[Basis]])</f>
        <v>Total Headcount</v>
      </c>
      <c r="R80" s="7" t="str">
        <f>IDMaster[[#This Row],[Supported Group]]&amp;"."&amp;IDMaster[[#This Row],[Basis]]</f>
        <v>Corporate.Total Headcount</v>
      </c>
      <c r="S80" s="11">
        <v>0.69106036166058238</v>
      </c>
      <c r="T80" s="12">
        <v>0.14347567705238135</v>
      </c>
      <c r="U80" s="12">
        <v>0</v>
      </c>
      <c r="V80" s="12">
        <v>0</v>
      </c>
      <c r="W80" s="12">
        <v>0.16546396128703625</v>
      </c>
    </row>
    <row r="81" spans="1:23" x14ac:dyDescent="0.35">
      <c r="A81" s="7" t="s">
        <v>23</v>
      </c>
      <c r="B81" s="7" t="s">
        <v>302</v>
      </c>
      <c r="C81" s="7" t="s">
        <v>134</v>
      </c>
      <c r="D81" s="8"/>
      <c r="E81" s="7" t="s">
        <v>46</v>
      </c>
      <c r="F81" s="7" t="s">
        <v>303</v>
      </c>
      <c r="G81" s="7" t="s">
        <v>48</v>
      </c>
      <c r="H81" s="7" t="s">
        <v>27</v>
      </c>
      <c r="I81" s="7" t="s">
        <v>28</v>
      </c>
      <c r="J81" s="7" t="s">
        <v>137</v>
      </c>
      <c r="K81" s="7" t="s">
        <v>63</v>
      </c>
      <c r="L81" s="7" t="s">
        <v>30</v>
      </c>
      <c r="M81" s="7"/>
      <c r="N81" s="9" t="s">
        <v>32</v>
      </c>
      <c r="O81" s="9" t="s">
        <v>141</v>
      </c>
      <c r="P81" s="9" t="s">
        <v>34</v>
      </c>
      <c r="Q81" s="10" t="str">
        <f>IF(IDMaster[[#This Row],[Consumption]]="Consumption",IDMaster[[#This Row],[Consumption]],IDMaster[[#This Row],[Basis]])</f>
        <v>Revenue</v>
      </c>
      <c r="R81" s="7" t="str">
        <f>IDMaster[[#This Row],[Supported Group]]&amp;"."&amp;IDMaster[[#This Row],[Basis]]</f>
        <v>Other.Revenue</v>
      </c>
      <c r="S81" s="11">
        <v>0.42185161428265983</v>
      </c>
      <c r="T81" s="12">
        <v>0.57814838571734017</v>
      </c>
      <c r="U81" s="12">
        <v>0</v>
      </c>
      <c r="V81" s="12">
        <v>0</v>
      </c>
      <c r="W81" s="12">
        <v>0</v>
      </c>
    </row>
    <row r="82" spans="1:23" x14ac:dyDescent="0.35">
      <c r="A82" s="7" t="s">
        <v>23</v>
      </c>
      <c r="B82" s="7" t="s">
        <v>304</v>
      </c>
      <c r="C82" s="7" t="s">
        <v>280</v>
      </c>
      <c r="D82" s="8">
        <v>365729</v>
      </c>
      <c r="E82" s="7" t="s">
        <v>46</v>
      </c>
      <c r="F82" s="7" t="s">
        <v>305</v>
      </c>
      <c r="G82" s="7" t="s">
        <v>48</v>
      </c>
      <c r="H82" s="7" t="s">
        <v>27</v>
      </c>
      <c r="I82" s="7" t="s">
        <v>28</v>
      </c>
      <c r="J82" s="7" t="s">
        <v>62</v>
      </c>
      <c r="K82" s="7" t="s">
        <v>63</v>
      </c>
      <c r="L82" s="7" t="s">
        <v>30</v>
      </c>
      <c r="M82" s="7" t="s">
        <v>43</v>
      </c>
      <c r="N82" s="9" t="s">
        <v>32</v>
      </c>
      <c r="O82" s="9" t="s">
        <v>64</v>
      </c>
      <c r="P82" s="9" t="s">
        <v>34</v>
      </c>
      <c r="Q82" s="10" t="str">
        <f>IF(IDMaster[[#This Row],[Consumption]]="Consumption",IDMaster[[#This Row],[Consumption]],IDMaster[[#This Row],[Basis]])</f>
        <v>Revenue</v>
      </c>
      <c r="R82" s="7" t="str">
        <f>IDMaster[[#This Row],[Supported Group]]&amp;"."&amp;IDMaster[[#This Row],[Basis]]</f>
        <v>Support.Revenue</v>
      </c>
      <c r="S82" s="11">
        <v>0.42185161428265983</v>
      </c>
      <c r="T82" s="12">
        <v>0.57814838571734017</v>
      </c>
      <c r="U82" s="12">
        <v>0</v>
      </c>
      <c r="V82" s="12">
        <v>0</v>
      </c>
      <c r="W82" s="12">
        <v>0</v>
      </c>
    </row>
    <row r="83" spans="1:23" x14ac:dyDescent="0.35">
      <c r="A83" s="7" t="s">
        <v>23</v>
      </c>
      <c r="B83" s="7" t="s">
        <v>306</v>
      </c>
      <c r="C83" s="7" t="s">
        <v>280</v>
      </c>
      <c r="D83" s="8">
        <v>365729</v>
      </c>
      <c r="E83" s="7" t="s">
        <v>46</v>
      </c>
      <c r="F83" s="7" t="s">
        <v>307</v>
      </c>
      <c r="G83" s="7" t="s">
        <v>48</v>
      </c>
      <c r="H83" s="7" t="s">
        <v>27</v>
      </c>
      <c r="I83" s="7" t="s">
        <v>28</v>
      </c>
      <c r="J83" s="7" t="s">
        <v>62</v>
      </c>
      <c r="K83" s="7" t="s">
        <v>63</v>
      </c>
      <c r="L83" s="7" t="s">
        <v>30</v>
      </c>
      <c r="M83" s="7" t="s">
        <v>43</v>
      </c>
      <c r="N83" s="9" t="s">
        <v>32</v>
      </c>
      <c r="O83" s="9" t="s">
        <v>64</v>
      </c>
      <c r="P83" s="9" t="s">
        <v>34</v>
      </c>
      <c r="Q83" s="10" t="str">
        <f>IF(IDMaster[[#This Row],[Consumption]]="Consumption",IDMaster[[#This Row],[Consumption]],IDMaster[[#This Row],[Basis]])</f>
        <v>Revenue</v>
      </c>
      <c r="R83" s="7" t="str">
        <f>IDMaster[[#This Row],[Supported Group]]&amp;"."&amp;IDMaster[[#This Row],[Basis]]</f>
        <v>Support.Revenue</v>
      </c>
      <c r="S83" s="11">
        <v>0.42185161428265983</v>
      </c>
      <c r="T83" s="12">
        <v>0.57814838571734017</v>
      </c>
      <c r="U83" s="12">
        <v>0</v>
      </c>
      <c r="V83" s="12">
        <v>0</v>
      </c>
      <c r="W83" s="12">
        <v>0</v>
      </c>
    </row>
    <row r="84" spans="1:23" x14ac:dyDescent="0.35">
      <c r="A84" s="7" t="s">
        <v>23</v>
      </c>
      <c r="B84" s="7" t="s">
        <v>308</v>
      </c>
      <c r="C84" s="7" t="s">
        <v>280</v>
      </c>
      <c r="D84" s="8">
        <v>365729</v>
      </c>
      <c r="E84" s="7" t="s">
        <v>46</v>
      </c>
      <c r="F84" s="7" t="s">
        <v>309</v>
      </c>
      <c r="G84" s="7" t="s">
        <v>48</v>
      </c>
      <c r="H84" s="7" t="s">
        <v>27</v>
      </c>
      <c r="I84" s="7" t="s">
        <v>28</v>
      </c>
      <c r="J84" s="7" t="s">
        <v>62</v>
      </c>
      <c r="K84" s="7" t="s">
        <v>63</v>
      </c>
      <c r="L84" s="7" t="s">
        <v>30</v>
      </c>
      <c r="M84" s="7" t="s">
        <v>43</v>
      </c>
      <c r="N84" s="9" t="s">
        <v>32</v>
      </c>
      <c r="O84" s="9" t="s">
        <v>64</v>
      </c>
      <c r="P84" s="9" t="s">
        <v>34</v>
      </c>
      <c r="Q84" s="10" t="str">
        <f>IF(IDMaster[[#This Row],[Consumption]]="Consumption",IDMaster[[#This Row],[Consumption]],IDMaster[[#This Row],[Basis]])</f>
        <v>Revenue</v>
      </c>
      <c r="R84" s="7" t="str">
        <f>IDMaster[[#This Row],[Supported Group]]&amp;"."&amp;IDMaster[[#This Row],[Basis]]</f>
        <v>Support.Revenue</v>
      </c>
      <c r="S84" s="11">
        <v>0.42185161428265983</v>
      </c>
      <c r="T84" s="12">
        <v>0.57814838571734017</v>
      </c>
      <c r="U84" s="12">
        <v>0</v>
      </c>
      <c r="V84" s="12">
        <v>0</v>
      </c>
      <c r="W84" s="12">
        <v>0</v>
      </c>
    </row>
    <row r="85" spans="1:23" x14ac:dyDescent="0.35">
      <c r="A85" s="7" t="s">
        <v>23</v>
      </c>
      <c r="B85" s="7" t="s">
        <v>310</v>
      </c>
      <c r="C85" s="7" t="s">
        <v>311</v>
      </c>
      <c r="D85" s="8">
        <v>196781</v>
      </c>
      <c r="E85" s="7" t="s">
        <v>312</v>
      </c>
      <c r="F85" s="7" t="s">
        <v>311</v>
      </c>
      <c r="G85" s="7" t="s">
        <v>48</v>
      </c>
      <c r="H85" s="7" t="s">
        <v>49</v>
      </c>
      <c r="I85" s="7" t="s">
        <v>28</v>
      </c>
      <c r="J85" s="7" t="s">
        <v>40</v>
      </c>
      <c r="K85" s="7" t="s">
        <v>80</v>
      </c>
      <c r="L85" s="7" t="s">
        <v>42</v>
      </c>
      <c r="M85" s="7"/>
      <c r="N85" s="9" t="s">
        <v>32</v>
      </c>
      <c r="O85" s="9" t="s">
        <v>141</v>
      </c>
      <c r="P85" s="9" t="s">
        <v>34</v>
      </c>
      <c r="Q85" s="10" t="str">
        <f>IF(IDMaster[[#This Row],[Consumption]]="Consumption",IDMaster[[#This Row],[Consumption]],IDMaster[[#This Row],[Basis]])</f>
        <v>Revenue</v>
      </c>
      <c r="R85" s="7" t="str">
        <f>IDMaster[[#This Row],[Supported Group]]&amp;"."&amp;IDMaster[[#This Row],[Basis]]</f>
        <v>Other.Revenue</v>
      </c>
      <c r="S85" s="11">
        <v>0.42185161428265983</v>
      </c>
      <c r="T85" s="12">
        <v>0.57814838571734017</v>
      </c>
      <c r="U85" s="12">
        <v>0</v>
      </c>
      <c r="V85" s="12">
        <v>0</v>
      </c>
      <c r="W85" s="12">
        <v>0</v>
      </c>
    </row>
    <row r="86" spans="1:23" x14ac:dyDescent="0.35">
      <c r="A86" s="7" t="s">
        <v>23</v>
      </c>
      <c r="B86" s="7" t="s">
        <v>313</v>
      </c>
      <c r="C86" s="7" t="s">
        <v>226</v>
      </c>
      <c r="D86" s="8">
        <v>259622</v>
      </c>
      <c r="E86" s="7" t="s">
        <v>314</v>
      </c>
      <c r="F86" s="7" t="s">
        <v>315</v>
      </c>
      <c r="G86" s="7" t="s">
        <v>48</v>
      </c>
      <c r="H86" s="7" t="s">
        <v>49</v>
      </c>
      <c r="I86" s="7" t="s">
        <v>28</v>
      </c>
      <c r="J86" s="7" t="s">
        <v>40</v>
      </c>
      <c r="K86" s="7" t="s">
        <v>41</v>
      </c>
      <c r="L86" s="7" t="s">
        <v>42</v>
      </c>
      <c r="M86" s="7" t="s">
        <v>316</v>
      </c>
      <c r="N86" s="9" t="s">
        <v>92</v>
      </c>
      <c r="O86" s="9" t="s">
        <v>51</v>
      </c>
      <c r="P86" s="9" t="s">
        <v>34</v>
      </c>
      <c r="Q86" s="10" t="str">
        <f>IF(IDMaster[[#This Row],[Consumption]]="Consumption",IDMaster[[#This Row],[Consumption]],IDMaster[[#This Row],[Basis]])</f>
        <v>Total Headcount</v>
      </c>
      <c r="R86" s="7" t="str">
        <f>IDMaster[[#This Row],[Supported Group]]&amp;"."&amp;IDMaster[[#This Row],[Basis]]</f>
        <v>IT Infrastructure.Total Headcount</v>
      </c>
      <c r="S86" s="11">
        <v>0.69106036166058238</v>
      </c>
      <c r="T86" s="12">
        <v>0.14347567705238135</v>
      </c>
      <c r="U86" s="12">
        <v>0</v>
      </c>
      <c r="V86" s="12">
        <v>0</v>
      </c>
      <c r="W86" s="12">
        <v>0.16546396128703625</v>
      </c>
    </row>
    <row r="87" spans="1:23" x14ac:dyDescent="0.35">
      <c r="A87" s="7" t="s">
        <v>23</v>
      </c>
      <c r="B87" s="7" t="s">
        <v>317</v>
      </c>
      <c r="C87" s="7" t="s">
        <v>121</v>
      </c>
      <c r="D87" s="8">
        <v>260532</v>
      </c>
      <c r="E87" s="7" t="s">
        <v>314</v>
      </c>
      <c r="F87" s="7" t="s">
        <v>318</v>
      </c>
      <c r="G87" s="7" t="s">
        <v>48</v>
      </c>
      <c r="H87" s="7" t="s">
        <v>49</v>
      </c>
      <c r="I87" s="7" t="s">
        <v>28</v>
      </c>
      <c r="J87" s="7" t="s">
        <v>124</v>
      </c>
      <c r="K87" s="7" t="s">
        <v>41</v>
      </c>
      <c r="L87" s="7" t="s">
        <v>42</v>
      </c>
      <c r="M87" s="7"/>
      <c r="N87" s="9" t="s">
        <v>32</v>
      </c>
      <c r="O87" s="9" t="s">
        <v>141</v>
      </c>
      <c r="P87" s="9" t="s">
        <v>34</v>
      </c>
      <c r="Q87" s="10" t="str">
        <f>IF(IDMaster[[#This Row],[Consumption]]="Consumption",IDMaster[[#This Row],[Consumption]],IDMaster[[#This Row],[Basis]])</f>
        <v>Revenue</v>
      </c>
      <c r="R87" s="7" t="str">
        <f>IDMaster[[#This Row],[Supported Group]]&amp;"."&amp;IDMaster[[#This Row],[Basis]]</f>
        <v>Other.Revenue</v>
      </c>
      <c r="S87" s="11">
        <v>0.42185161428265983</v>
      </c>
      <c r="T87" s="12">
        <v>0.57814838571734017</v>
      </c>
      <c r="U87" s="12">
        <v>0</v>
      </c>
      <c r="V87" s="12">
        <v>0</v>
      </c>
      <c r="W87" s="12">
        <v>0</v>
      </c>
    </row>
    <row r="88" spans="1:23" x14ac:dyDescent="0.35">
      <c r="A88" s="7" t="s">
        <v>23</v>
      </c>
      <c r="B88" s="7" t="s">
        <v>319</v>
      </c>
      <c r="C88" s="7" t="s">
        <v>121</v>
      </c>
      <c r="D88" s="8">
        <v>260532</v>
      </c>
      <c r="E88" s="7" t="s">
        <v>314</v>
      </c>
      <c r="F88" s="7" t="s">
        <v>320</v>
      </c>
      <c r="G88" s="7" t="s">
        <v>48</v>
      </c>
      <c r="H88" s="7" t="s">
        <v>49</v>
      </c>
      <c r="I88" s="7" t="s">
        <v>28</v>
      </c>
      <c r="J88" s="7" t="s">
        <v>124</v>
      </c>
      <c r="K88" s="7" t="s">
        <v>41</v>
      </c>
      <c r="L88" s="7" t="s">
        <v>42</v>
      </c>
      <c r="M88" s="7"/>
      <c r="N88" s="9" t="s">
        <v>32</v>
      </c>
      <c r="O88" s="9" t="s">
        <v>141</v>
      </c>
      <c r="P88" s="9" t="s">
        <v>34</v>
      </c>
      <c r="Q88" s="10" t="str">
        <f>IF(IDMaster[[#This Row],[Consumption]]="Consumption",IDMaster[[#This Row],[Consumption]],IDMaster[[#This Row],[Basis]])</f>
        <v>Revenue</v>
      </c>
      <c r="R88" s="7" t="str">
        <f>IDMaster[[#This Row],[Supported Group]]&amp;"."&amp;IDMaster[[#This Row],[Basis]]</f>
        <v>Other.Revenue</v>
      </c>
      <c r="S88" s="11">
        <v>0.42185161428265983</v>
      </c>
      <c r="T88" s="12">
        <v>0.57814838571734017</v>
      </c>
      <c r="U88" s="12">
        <v>0</v>
      </c>
      <c r="V88" s="12">
        <v>0</v>
      </c>
      <c r="W88" s="12">
        <v>0</v>
      </c>
    </row>
    <row r="89" spans="1:23" x14ac:dyDescent="0.35">
      <c r="A89" s="7" t="s">
        <v>23</v>
      </c>
      <c r="B89" s="7" t="s">
        <v>321</v>
      </c>
      <c r="C89" s="15" t="s">
        <v>121</v>
      </c>
      <c r="D89" s="8">
        <v>260532</v>
      </c>
      <c r="E89" s="7" t="s">
        <v>314</v>
      </c>
      <c r="F89" s="7" t="s">
        <v>322</v>
      </c>
      <c r="G89" s="7" t="s">
        <v>48</v>
      </c>
      <c r="H89" s="7" t="s">
        <v>49</v>
      </c>
      <c r="I89" s="7" t="s">
        <v>28</v>
      </c>
      <c r="J89" s="7" t="s">
        <v>124</v>
      </c>
      <c r="K89" s="7" t="s">
        <v>80</v>
      </c>
      <c r="L89" s="7" t="s">
        <v>42</v>
      </c>
      <c r="M89" s="7"/>
      <c r="N89" s="9" t="s">
        <v>32</v>
      </c>
      <c r="O89" s="9" t="s">
        <v>141</v>
      </c>
      <c r="P89" s="9" t="s">
        <v>34</v>
      </c>
      <c r="Q89" s="10" t="str">
        <f>IF(IDMaster[[#This Row],[Consumption]]="Consumption",IDMaster[[#This Row],[Consumption]],IDMaster[[#This Row],[Basis]])</f>
        <v>Revenue</v>
      </c>
      <c r="R89" s="7" t="str">
        <f>IDMaster[[#This Row],[Supported Group]]&amp;"."&amp;IDMaster[[#This Row],[Basis]]</f>
        <v>Other.Revenue</v>
      </c>
      <c r="S89" s="11">
        <v>0.42185161428265983</v>
      </c>
      <c r="T89" s="12">
        <v>0.57814838571734017</v>
      </c>
      <c r="U89" s="12">
        <v>0</v>
      </c>
      <c r="V89" s="12">
        <v>0</v>
      </c>
      <c r="W89" s="12">
        <v>0</v>
      </c>
    </row>
    <row r="90" spans="1:23" x14ac:dyDescent="0.35">
      <c r="A90" s="7" t="s">
        <v>23</v>
      </c>
      <c r="B90" s="7" t="s">
        <v>323</v>
      </c>
      <c r="C90" s="15" t="s">
        <v>121</v>
      </c>
      <c r="D90" s="8">
        <v>260532</v>
      </c>
      <c r="E90" s="7" t="s">
        <v>314</v>
      </c>
      <c r="F90" s="7" t="s">
        <v>324</v>
      </c>
      <c r="G90" s="7" t="s">
        <v>48</v>
      </c>
      <c r="H90" s="7" t="s">
        <v>49</v>
      </c>
      <c r="I90" s="7" t="s">
        <v>28</v>
      </c>
      <c r="J90" s="7" t="s">
        <v>124</v>
      </c>
      <c r="K90" s="7" t="s">
        <v>80</v>
      </c>
      <c r="L90" s="7" t="s">
        <v>42</v>
      </c>
      <c r="M90" s="7"/>
      <c r="N90" s="9" t="s">
        <v>32</v>
      </c>
      <c r="O90" s="9" t="s">
        <v>141</v>
      </c>
      <c r="P90" s="9" t="s">
        <v>34</v>
      </c>
      <c r="Q90" s="10" t="str">
        <f>IF(IDMaster[[#This Row],[Consumption]]="Consumption",IDMaster[[#This Row],[Consumption]],IDMaster[[#This Row],[Basis]])</f>
        <v>Revenue</v>
      </c>
      <c r="R90" s="7" t="str">
        <f>IDMaster[[#This Row],[Supported Group]]&amp;"."&amp;IDMaster[[#This Row],[Basis]]</f>
        <v>Other.Revenue</v>
      </c>
      <c r="S90" s="11">
        <v>0.42185161428265983</v>
      </c>
      <c r="T90" s="12">
        <v>0.57814838571734017</v>
      </c>
      <c r="U90" s="12">
        <v>0</v>
      </c>
      <c r="V90" s="12">
        <v>0</v>
      </c>
      <c r="W90" s="12">
        <v>0</v>
      </c>
    </row>
    <row r="91" spans="1:23" x14ac:dyDescent="0.35">
      <c r="A91" s="7" t="s">
        <v>23</v>
      </c>
      <c r="B91" s="7" t="s">
        <v>325</v>
      </c>
      <c r="C91" s="7" t="s">
        <v>326</v>
      </c>
      <c r="D91" s="8">
        <v>178105</v>
      </c>
      <c r="E91" s="7" t="s">
        <v>260</v>
      </c>
      <c r="F91" s="7" t="s">
        <v>327</v>
      </c>
      <c r="G91" s="7" t="s">
        <v>48</v>
      </c>
      <c r="H91" s="7" t="s">
        <v>49</v>
      </c>
      <c r="I91" s="7" t="s">
        <v>28</v>
      </c>
      <c r="J91" s="7" t="s">
        <v>40</v>
      </c>
      <c r="K91" s="7" t="s">
        <v>80</v>
      </c>
      <c r="L91" s="7" t="s">
        <v>42</v>
      </c>
      <c r="M91" s="7"/>
      <c r="N91" s="9" t="s">
        <v>32</v>
      </c>
      <c r="O91" s="9" t="s">
        <v>141</v>
      </c>
      <c r="P91" s="9" t="s">
        <v>34</v>
      </c>
      <c r="Q91" s="10" t="str">
        <f>IF(IDMaster[[#This Row],[Consumption]]="Consumption",IDMaster[[#This Row],[Consumption]],IDMaster[[#This Row],[Basis]])</f>
        <v>Revenue</v>
      </c>
      <c r="R91" s="7" t="str">
        <f>IDMaster[[#This Row],[Supported Group]]&amp;"."&amp;IDMaster[[#This Row],[Basis]]</f>
        <v>Other.Revenue</v>
      </c>
      <c r="S91" s="11">
        <v>0.42185161428265983</v>
      </c>
      <c r="T91" s="12">
        <v>0.57814838571734017</v>
      </c>
      <c r="U91" s="12">
        <v>0</v>
      </c>
      <c r="V91" s="12">
        <v>0</v>
      </c>
      <c r="W91" s="12">
        <v>0</v>
      </c>
    </row>
    <row r="92" spans="1:23" x14ac:dyDescent="0.35">
      <c r="A92" s="7" t="s">
        <v>23</v>
      </c>
      <c r="B92" s="7" t="s">
        <v>328</v>
      </c>
      <c r="C92" s="7" t="s">
        <v>329</v>
      </c>
      <c r="D92" s="8">
        <v>207712</v>
      </c>
      <c r="E92" s="7" t="s">
        <v>260</v>
      </c>
      <c r="F92" s="7" t="s">
        <v>330</v>
      </c>
      <c r="G92" s="7" t="s">
        <v>48</v>
      </c>
      <c r="H92" s="7" t="s">
        <v>49</v>
      </c>
      <c r="I92" s="7" t="s">
        <v>28</v>
      </c>
      <c r="J92" s="7" t="s">
        <v>40</v>
      </c>
      <c r="K92" s="7" t="s">
        <v>80</v>
      </c>
      <c r="L92" s="7" t="s">
        <v>42</v>
      </c>
      <c r="M92" s="7"/>
      <c r="N92" s="9" t="s">
        <v>32</v>
      </c>
      <c r="O92" s="9" t="s">
        <v>141</v>
      </c>
      <c r="P92" s="9" t="s">
        <v>34</v>
      </c>
      <c r="Q92" s="10" t="str">
        <f>IF(IDMaster[[#This Row],[Consumption]]="Consumption",IDMaster[[#This Row],[Consumption]],IDMaster[[#This Row],[Basis]])</f>
        <v>Revenue</v>
      </c>
      <c r="R92" s="7" t="str">
        <f>IDMaster[[#This Row],[Supported Group]]&amp;"."&amp;IDMaster[[#This Row],[Basis]]</f>
        <v>Other.Revenue</v>
      </c>
      <c r="S92" s="11">
        <v>0.42185161428265983</v>
      </c>
      <c r="T92" s="12">
        <v>0.57814838571734017</v>
      </c>
      <c r="U92" s="12">
        <v>0</v>
      </c>
      <c r="V92" s="12">
        <v>0</v>
      </c>
      <c r="W92" s="12">
        <v>0</v>
      </c>
    </row>
    <row r="93" spans="1:23" x14ac:dyDescent="0.35">
      <c r="A93" s="7" t="s">
        <v>23</v>
      </c>
      <c r="B93" s="7" t="s">
        <v>331</v>
      </c>
      <c r="C93" s="15" t="s">
        <v>332</v>
      </c>
      <c r="D93" s="8"/>
      <c r="E93" s="7" t="s">
        <v>260</v>
      </c>
      <c r="F93" s="7" t="s">
        <v>333</v>
      </c>
      <c r="G93" s="7" t="s">
        <v>48</v>
      </c>
      <c r="H93" s="7" t="s">
        <v>49</v>
      </c>
      <c r="I93" s="7" t="s">
        <v>28</v>
      </c>
      <c r="J93" s="7" t="s">
        <v>40</v>
      </c>
      <c r="K93" s="7" t="s">
        <v>80</v>
      </c>
      <c r="L93" s="7" t="s">
        <v>42</v>
      </c>
      <c r="M93" s="7"/>
      <c r="N93" s="9" t="s">
        <v>32</v>
      </c>
      <c r="O93" s="9" t="s">
        <v>141</v>
      </c>
      <c r="P93" s="9" t="s">
        <v>34</v>
      </c>
      <c r="Q93" s="10" t="str">
        <f>IF(IDMaster[[#This Row],[Consumption]]="Consumption",IDMaster[[#This Row],[Consumption]],IDMaster[[#This Row],[Basis]])</f>
        <v>Revenue</v>
      </c>
      <c r="R93" s="7" t="str">
        <f>IDMaster[[#This Row],[Supported Group]]&amp;"."&amp;IDMaster[[#This Row],[Basis]]</f>
        <v>Other.Revenue</v>
      </c>
      <c r="S93" s="11">
        <v>0.42185161428265983</v>
      </c>
      <c r="T93" s="12">
        <v>0.57814838571734017</v>
      </c>
      <c r="U93" s="12">
        <v>0</v>
      </c>
      <c r="V93" s="12">
        <v>0</v>
      </c>
      <c r="W93" s="12">
        <v>0</v>
      </c>
    </row>
    <row r="94" spans="1:23" x14ac:dyDescent="0.35">
      <c r="A94" s="7" t="s">
        <v>23</v>
      </c>
      <c r="B94" s="7" t="s">
        <v>334</v>
      </c>
      <c r="C94" s="7" t="s">
        <v>335</v>
      </c>
      <c r="D94" s="8">
        <v>233525</v>
      </c>
      <c r="E94" s="7" t="s">
        <v>260</v>
      </c>
      <c r="F94" s="7" t="s">
        <v>336</v>
      </c>
      <c r="G94" s="7" t="s">
        <v>48</v>
      </c>
      <c r="H94" s="7" t="s">
        <v>49</v>
      </c>
      <c r="I94" s="7" t="s">
        <v>28</v>
      </c>
      <c r="J94" s="7" t="s">
        <v>40</v>
      </c>
      <c r="K94" s="7" t="s">
        <v>80</v>
      </c>
      <c r="L94" s="7" t="s">
        <v>42</v>
      </c>
      <c r="M94" s="7"/>
      <c r="N94" s="9" t="s">
        <v>32</v>
      </c>
      <c r="O94" s="9" t="s">
        <v>141</v>
      </c>
      <c r="P94" s="9" t="s">
        <v>34</v>
      </c>
      <c r="Q94" s="10" t="str">
        <f>IF(IDMaster[[#This Row],[Consumption]]="Consumption",IDMaster[[#This Row],[Consumption]],IDMaster[[#This Row],[Basis]])</f>
        <v>Revenue</v>
      </c>
      <c r="R94" s="7" t="str">
        <f>IDMaster[[#This Row],[Supported Group]]&amp;"."&amp;IDMaster[[#This Row],[Basis]]</f>
        <v>Other.Revenue</v>
      </c>
      <c r="S94" s="11">
        <v>0.42185161428265983</v>
      </c>
      <c r="T94" s="12">
        <v>0.57814838571734017</v>
      </c>
      <c r="U94" s="12">
        <v>0</v>
      </c>
      <c r="V94" s="12">
        <v>0</v>
      </c>
      <c r="W94" s="12">
        <v>0</v>
      </c>
    </row>
    <row r="95" spans="1:23" x14ac:dyDescent="0.35">
      <c r="A95" s="7" t="s">
        <v>23</v>
      </c>
      <c r="B95" s="7" t="s">
        <v>337</v>
      </c>
      <c r="C95" s="7" t="s">
        <v>335</v>
      </c>
      <c r="D95" s="8">
        <v>233525</v>
      </c>
      <c r="E95" s="7" t="s">
        <v>260</v>
      </c>
      <c r="F95" s="7" t="s">
        <v>338</v>
      </c>
      <c r="G95" s="7" t="s">
        <v>48</v>
      </c>
      <c r="H95" s="7" t="s">
        <v>49</v>
      </c>
      <c r="I95" s="7" t="s">
        <v>28</v>
      </c>
      <c r="J95" s="7" t="s">
        <v>40</v>
      </c>
      <c r="K95" s="7" t="s">
        <v>80</v>
      </c>
      <c r="L95" s="7" t="s">
        <v>42</v>
      </c>
      <c r="M95" s="7"/>
      <c r="N95" s="9" t="s">
        <v>32</v>
      </c>
      <c r="O95" s="9" t="s">
        <v>141</v>
      </c>
      <c r="P95" s="9" t="s">
        <v>34</v>
      </c>
      <c r="Q95" s="10" t="str">
        <f>IF(IDMaster[[#This Row],[Consumption]]="Consumption",IDMaster[[#This Row],[Consumption]],IDMaster[[#This Row],[Basis]])</f>
        <v>Revenue</v>
      </c>
      <c r="R95" s="7" t="str">
        <f>IDMaster[[#This Row],[Supported Group]]&amp;"."&amp;IDMaster[[#This Row],[Basis]]</f>
        <v>Other.Revenue</v>
      </c>
      <c r="S95" s="11">
        <v>0.42185161428265983</v>
      </c>
      <c r="T95" s="12">
        <v>0.57814838571734017</v>
      </c>
      <c r="U95" s="12">
        <v>0</v>
      </c>
      <c r="V95" s="12">
        <v>0</v>
      </c>
      <c r="W95" s="12">
        <v>0</v>
      </c>
    </row>
    <row r="96" spans="1:23" x14ac:dyDescent="0.35">
      <c r="A96" s="7" t="s">
        <v>23</v>
      </c>
      <c r="B96" s="7" t="s">
        <v>339</v>
      </c>
      <c r="C96" s="7" t="s">
        <v>340</v>
      </c>
      <c r="D96" s="8">
        <v>155810</v>
      </c>
      <c r="E96" s="7" t="s">
        <v>260</v>
      </c>
      <c r="F96" s="7" t="s">
        <v>341</v>
      </c>
      <c r="G96" s="7" t="s">
        <v>48</v>
      </c>
      <c r="H96" s="7" t="s">
        <v>49</v>
      </c>
      <c r="I96" s="7" t="s">
        <v>28</v>
      </c>
      <c r="J96" s="7" t="s">
        <v>40</v>
      </c>
      <c r="K96" s="7" t="s">
        <v>41</v>
      </c>
      <c r="L96" s="7" t="s">
        <v>42</v>
      </c>
      <c r="M96" s="7"/>
      <c r="N96" s="9" t="s">
        <v>32</v>
      </c>
      <c r="O96" s="9" t="s">
        <v>141</v>
      </c>
      <c r="P96" s="9" t="s">
        <v>34</v>
      </c>
      <c r="Q96" s="10" t="str">
        <f>IF(IDMaster[[#This Row],[Consumption]]="Consumption",IDMaster[[#This Row],[Consumption]],IDMaster[[#This Row],[Basis]])</f>
        <v>Revenue</v>
      </c>
      <c r="R96" s="7" t="str">
        <f>IDMaster[[#This Row],[Supported Group]]&amp;"."&amp;IDMaster[[#This Row],[Basis]]</f>
        <v>Other.Revenue</v>
      </c>
      <c r="S96" s="11">
        <v>0.42185161428265983</v>
      </c>
      <c r="T96" s="12">
        <v>0.57814838571734017</v>
      </c>
      <c r="U96" s="12">
        <v>0</v>
      </c>
      <c r="V96" s="12">
        <v>0</v>
      </c>
      <c r="W96" s="12">
        <v>0</v>
      </c>
    </row>
    <row r="97" spans="1:23" x14ac:dyDescent="0.35">
      <c r="A97" s="7" t="s">
        <v>23</v>
      </c>
      <c r="B97" s="7" t="s">
        <v>342</v>
      </c>
      <c r="C97" s="7" t="s">
        <v>343</v>
      </c>
      <c r="D97" s="8">
        <v>244518</v>
      </c>
      <c r="E97" s="7" t="s">
        <v>260</v>
      </c>
      <c r="F97" s="7" t="s">
        <v>344</v>
      </c>
      <c r="G97" s="7" t="s">
        <v>48</v>
      </c>
      <c r="H97" s="7" t="s">
        <v>49</v>
      </c>
      <c r="I97" s="7" t="s">
        <v>28</v>
      </c>
      <c r="J97" s="7" t="s">
        <v>40</v>
      </c>
      <c r="K97" s="7" t="s">
        <v>80</v>
      </c>
      <c r="L97" s="7" t="s">
        <v>42</v>
      </c>
      <c r="M97" s="7"/>
      <c r="N97" s="9" t="s">
        <v>32</v>
      </c>
      <c r="O97" s="9" t="s">
        <v>141</v>
      </c>
      <c r="P97" s="9" t="s">
        <v>34</v>
      </c>
      <c r="Q97" s="10" t="str">
        <f>IF(IDMaster[[#This Row],[Consumption]]="Consumption",IDMaster[[#This Row],[Consumption]],IDMaster[[#This Row],[Basis]])</f>
        <v>Revenue</v>
      </c>
      <c r="R97" s="7" t="str">
        <f>IDMaster[[#This Row],[Supported Group]]&amp;"."&amp;IDMaster[[#This Row],[Basis]]</f>
        <v>Other.Revenue</v>
      </c>
      <c r="S97" s="11">
        <v>0.42185161428265983</v>
      </c>
      <c r="T97" s="12">
        <v>0.57814838571734017</v>
      </c>
      <c r="U97" s="12">
        <v>0</v>
      </c>
      <c r="V97" s="12">
        <v>0</v>
      </c>
      <c r="W97" s="12">
        <v>0</v>
      </c>
    </row>
    <row r="98" spans="1:23" x14ac:dyDescent="0.35">
      <c r="A98" s="7" t="s">
        <v>23</v>
      </c>
      <c r="B98" s="7" t="s">
        <v>345</v>
      </c>
      <c r="C98" s="7" t="s">
        <v>346</v>
      </c>
      <c r="D98" s="8">
        <v>290063</v>
      </c>
      <c r="E98" s="7" t="s">
        <v>260</v>
      </c>
      <c r="F98" s="7" t="s">
        <v>347</v>
      </c>
      <c r="G98" s="7" t="s">
        <v>48</v>
      </c>
      <c r="H98" s="7" t="s">
        <v>49</v>
      </c>
      <c r="I98" s="7" t="s">
        <v>28</v>
      </c>
      <c r="J98" s="7" t="s">
        <v>348</v>
      </c>
      <c r="K98" s="7" t="s">
        <v>349</v>
      </c>
      <c r="L98" s="7" t="s">
        <v>350</v>
      </c>
      <c r="M98" s="7" t="s">
        <v>350</v>
      </c>
      <c r="N98" s="9" t="s">
        <v>92</v>
      </c>
      <c r="O98" s="9" t="s">
        <v>51</v>
      </c>
      <c r="P98" s="9" t="s">
        <v>34</v>
      </c>
      <c r="Q98" s="10" t="str">
        <f>IF(IDMaster[[#This Row],[Consumption]]="Consumption",IDMaster[[#This Row],[Consumption]],IDMaster[[#This Row],[Basis]])</f>
        <v>Total Headcount</v>
      </c>
      <c r="R98" s="7" t="str">
        <f>IDMaster[[#This Row],[Supported Group]]&amp;"."&amp;IDMaster[[#This Row],[Basis]]</f>
        <v>IT Infrastructure.Total Headcount</v>
      </c>
      <c r="S98" s="11">
        <v>0.69106036166058238</v>
      </c>
      <c r="T98" s="12">
        <v>0.14347567705238135</v>
      </c>
      <c r="U98" s="12">
        <v>0</v>
      </c>
      <c r="V98" s="12">
        <v>0</v>
      </c>
      <c r="W98" s="12">
        <v>0.16546396128703625</v>
      </c>
    </row>
    <row r="99" spans="1:23" x14ac:dyDescent="0.35">
      <c r="A99" s="7" t="s">
        <v>23</v>
      </c>
      <c r="B99" s="7" t="s">
        <v>351</v>
      </c>
      <c r="C99" s="7" t="s">
        <v>352</v>
      </c>
      <c r="D99" s="8"/>
      <c r="E99" s="7" t="s">
        <v>260</v>
      </c>
      <c r="F99" s="7" t="s">
        <v>353</v>
      </c>
      <c r="G99" s="7" t="s">
        <v>48</v>
      </c>
      <c r="H99" s="7" t="s">
        <v>49</v>
      </c>
      <c r="I99" s="7" t="s">
        <v>28</v>
      </c>
      <c r="J99" s="7" t="s">
        <v>348</v>
      </c>
      <c r="K99" s="7" t="s">
        <v>349</v>
      </c>
      <c r="L99" s="7" t="s">
        <v>350</v>
      </c>
      <c r="M99" s="7" t="s">
        <v>350</v>
      </c>
      <c r="N99" s="9" t="s">
        <v>92</v>
      </c>
      <c r="O99" s="9" t="s">
        <v>51</v>
      </c>
      <c r="P99" s="9" t="s">
        <v>34</v>
      </c>
      <c r="Q99" s="10" t="str">
        <f>IF(IDMaster[[#This Row],[Consumption]]="Consumption",IDMaster[[#This Row],[Consumption]],IDMaster[[#This Row],[Basis]])</f>
        <v>Total Headcount</v>
      </c>
      <c r="R99" s="7" t="str">
        <f>IDMaster[[#This Row],[Supported Group]]&amp;"."&amp;IDMaster[[#This Row],[Basis]]</f>
        <v>IT Infrastructure.Total Headcount</v>
      </c>
      <c r="S99" s="11">
        <v>0.69106036166058238</v>
      </c>
      <c r="T99" s="12">
        <v>0.14347567705238135</v>
      </c>
      <c r="U99" s="12">
        <v>0</v>
      </c>
      <c r="V99" s="12">
        <v>0</v>
      </c>
      <c r="W99" s="12">
        <v>0.16546396128703625</v>
      </c>
    </row>
    <row r="100" spans="1:23" x14ac:dyDescent="0.35">
      <c r="A100" s="7" t="s">
        <v>23</v>
      </c>
      <c r="B100" s="7" t="s">
        <v>354</v>
      </c>
      <c r="C100" s="7" t="s">
        <v>355</v>
      </c>
      <c r="D100" s="8"/>
      <c r="E100" s="7" t="s">
        <v>260</v>
      </c>
      <c r="F100" s="7" t="s">
        <v>356</v>
      </c>
      <c r="G100" s="7" t="s">
        <v>48</v>
      </c>
      <c r="H100" s="7" t="s">
        <v>49</v>
      </c>
      <c r="I100" s="7" t="s">
        <v>28</v>
      </c>
      <c r="J100" s="7" t="s">
        <v>348</v>
      </c>
      <c r="K100" s="7" t="s">
        <v>349</v>
      </c>
      <c r="L100" s="7" t="s">
        <v>350</v>
      </c>
      <c r="M100" s="7" t="s">
        <v>350</v>
      </c>
      <c r="N100" s="9" t="s">
        <v>92</v>
      </c>
      <c r="O100" s="9" t="s">
        <v>51</v>
      </c>
      <c r="P100" s="9" t="s">
        <v>34</v>
      </c>
      <c r="Q100" s="10" t="str">
        <f>IF(IDMaster[[#This Row],[Consumption]]="Consumption",IDMaster[[#This Row],[Consumption]],IDMaster[[#This Row],[Basis]])</f>
        <v>Total Headcount</v>
      </c>
      <c r="R100" s="7" t="str">
        <f>IDMaster[[#This Row],[Supported Group]]&amp;"."&amp;IDMaster[[#This Row],[Basis]]</f>
        <v>IT Infrastructure.Total Headcount</v>
      </c>
      <c r="S100" s="11">
        <v>0.69106036166058238</v>
      </c>
      <c r="T100" s="12">
        <v>0.14347567705238135</v>
      </c>
      <c r="U100" s="12">
        <v>0</v>
      </c>
      <c r="V100" s="12">
        <v>0</v>
      </c>
      <c r="W100" s="12">
        <v>0.16546396128703625</v>
      </c>
    </row>
    <row r="101" spans="1:23" x14ac:dyDescent="0.35">
      <c r="A101" s="7" t="s">
        <v>23</v>
      </c>
      <c r="B101" s="7" t="s">
        <v>357</v>
      </c>
      <c r="C101" s="7" t="s">
        <v>358</v>
      </c>
      <c r="D101" s="8"/>
      <c r="E101" s="7" t="s">
        <v>260</v>
      </c>
      <c r="F101" s="7" t="s">
        <v>359</v>
      </c>
      <c r="G101" s="7" t="s">
        <v>48</v>
      </c>
      <c r="H101" s="7" t="s">
        <v>49</v>
      </c>
      <c r="I101" s="7" t="s">
        <v>28</v>
      </c>
      <c r="J101" s="7" t="s">
        <v>348</v>
      </c>
      <c r="K101" s="7" t="s">
        <v>349</v>
      </c>
      <c r="L101" s="7" t="s">
        <v>350</v>
      </c>
      <c r="M101" s="7" t="s">
        <v>350</v>
      </c>
      <c r="N101" s="9" t="s">
        <v>92</v>
      </c>
      <c r="O101" s="9" t="s">
        <v>51</v>
      </c>
      <c r="P101" s="9" t="s">
        <v>34</v>
      </c>
      <c r="Q101" s="10" t="str">
        <f>IF(IDMaster[[#This Row],[Consumption]]="Consumption",IDMaster[[#This Row],[Consumption]],IDMaster[[#This Row],[Basis]])</f>
        <v>Total Headcount</v>
      </c>
      <c r="R101" s="7" t="str">
        <f>IDMaster[[#This Row],[Supported Group]]&amp;"."&amp;IDMaster[[#This Row],[Basis]]</f>
        <v>IT Infrastructure.Total Headcount</v>
      </c>
      <c r="S101" s="11">
        <v>0.69106036166058238</v>
      </c>
      <c r="T101" s="12">
        <v>0.14347567705238135</v>
      </c>
      <c r="U101" s="12">
        <v>0</v>
      </c>
      <c r="V101" s="12">
        <v>0</v>
      </c>
      <c r="W101" s="12">
        <v>0.16546396128703625</v>
      </c>
    </row>
    <row r="102" spans="1:23" x14ac:dyDescent="0.35">
      <c r="A102" s="7" t="s">
        <v>23</v>
      </c>
      <c r="B102" s="7" t="s">
        <v>360</v>
      </c>
      <c r="C102" s="7" t="s">
        <v>361</v>
      </c>
      <c r="D102" s="8">
        <v>442101</v>
      </c>
      <c r="E102" s="7" t="s">
        <v>260</v>
      </c>
      <c r="F102" s="7" t="s">
        <v>362</v>
      </c>
      <c r="G102" s="7" t="s">
        <v>48</v>
      </c>
      <c r="H102" s="7" t="s">
        <v>49</v>
      </c>
      <c r="I102" s="7" t="s">
        <v>28</v>
      </c>
      <c r="J102" s="7" t="s">
        <v>348</v>
      </c>
      <c r="K102" s="7" t="s">
        <v>349</v>
      </c>
      <c r="L102" s="7" t="s">
        <v>350</v>
      </c>
      <c r="M102" s="7" t="s">
        <v>350</v>
      </c>
      <c r="N102" s="9" t="s">
        <v>92</v>
      </c>
      <c r="O102" s="9" t="s">
        <v>51</v>
      </c>
      <c r="P102" s="9" t="s">
        <v>34</v>
      </c>
      <c r="Q102" s="10" t="str">
        <f>IF(IDMaster[[#This Row],[Consumption]]="Consumption",IDMaster[[#This Row],[Consumption]],IDMaster[[#This Row],[Basis]])</f>
        <v>Total Headcount</v>
      </c>
      <c r="R102" s="7" t="str">
        <f>IDMaster[[#This Row],[Supported Group]]&amp;"."&amp;IDMaster[[#This Row],[Basis]]</f>
        <v>IT Infrastructure.Total Headcount</v>
      </c>
      <c r="S102" s="11">
        <v>0.69106036166058238</v>
      </c>
      <c r="T102" s="12">
        <v>0.14347567705238135</v>
      </c>
      <c r="U102" s="12">
        <v>0</v>
      </c>
      <c r="V102" s="12">
        <v>0</v>
      </c>
      <c r="W102" s="12">
        <v>0.16546396128703625</v>
      </c>
    </row>
    <row r="103" spans="1:23" x14ac:dyDescent="0.35">
      <c r="A103" s="7" t="s">
        <v>23</v>
      </c>
      <c r="B103" s="7" t="s">
        <v>363</v>
      </c>
      <c r="C103" s="7" t="s">
        <v>326</v>
      </c>
      <c r="D103" s="8">
        <v>178105</v>
      </c>
      <c r="E103" s="7" t="s">
        <v>260</v>
      </c>
      <c r="F103" s="7" t="s">
        <v>364</v>
      </c>
      <c r="G103" s="7" t="s">
        <v>48</v>
      </c>
      <c r="H103" s="7" t="s">
        <v>27</v>
      </c>
      <c r="I103" s="7" t="s">
        <v>28</v>
      </c>
      <c r="J103" s="7" t="s">
        <v>137</v>
      </c>
      <c r="K103" s="7" t="s">
        <v>63</v>
      </c>
      <c r="L103" s="7" t="s">
        <v>30</v>
      </c>
      <c r="M103" s="7"/>
      <c r="N103" s="9" t="s">
        <v>32</v>
      </c>
      <c r="O103" s="9" t="s">
        <v>141</v>
      </c>
      <c r="P103" s="9" t="s">
        <v>34</v>
      </c>
      <c r="Q103" s="10" t="str">
        <f>IF(IDMaster[[#This Row],[Consumption]]="Consumption",IDMaster[[#This Row],[Consumption]],IDMaster[[#This Row],[Basis]])</f>
        <v>Revenue</v>
      </c>
      <c r="R103" s="7" t="str">
        <f>IDMaster[[#This Row],[Supported Group]]&amp;"."&amp;IDMaster[[#This Row],[Basis]]</f>
        <v>Other.Revenue</v>
      </c>
      <c r="S103" s="11">
        <v>0.42185161428265983</v>
      </c>
      <c r="T103" s="12">
        <v>0.57814838571734017</v>
      </c>
      <c r="U103" s="12">
        <v>0</v>
      </c>
      <c r="V103" s="12">
        <v>0</v>
      </c>
      <c r="W103" s="12">
        <v>0</v>
      </c>
    </row>
    <row r="104" spans="1:23" x14ac:dyDescent="0.35">
      <c r="A104" s="7" t="s">
        <v>23</v>
      </c>
      <c r="B104" s="7" t="s">
        <v>365</v>
      </c>
      <c r="C104" s="7" t="s">
        <v>329</v>
      </c>
      <c r="D104" s="8">
        <v>207712</v>
      </c>
      <c r="E104" s="7" t="s">
        <v>260</v>
      </c>
      <c r="F104" s="7" t="s">
        <v>366</v>
      </c>
      <c r="G104" s="7" t="s">
        <v>48</v>
      </c>
      <c r="H104" s="7" t="s">
        <v>49</v>
      </c>
      <c r="I104" s="7" t="s">
        <v>28</v>
      </c>
      <c r="J104" s="7" t="s">
        <v>40</v>
      </c>
      <c r="K104" s="7" t="s">
        <v>80</v>
      </c>
      <c r="L104" s="7" t="s">
        <v>42</v>
      </c>
      <c r="M104" s="7"/>
      <c r="N104" s="9" t="s">
        <v>32</v>
      </c>
      <c r="O104" s="9" t="s">
        <v>141</v>
      </c>
      <c r="P104" s="9" t="s">
        <v>34</v>
      </c>
      <c r="Q104" s="10" t="str">
        <f>IF(IDMaster[[#This Row],[Consumption]]="Consumption",IDMaster[[#This Row],[Consumption]],IDMaster[[#This Row],[Basis]])</f>
        <v>Revenue</v>
      </c>
      <c r="R104" s="7" t="str">
        <f>IDMaster[[#This Row],[Supported Group]]&amp;"."&amp;IDMaster[[#This Row],[Basis]]</f>
        <v>Other.Revenue</v>
      </c>
      <c r="S104" s="11">
        <v>0.42185161428265983</v>
      </c>
      <c r="T104" s="12">
        <v>0.57814838571734017</v>
      </c>
      <c r="U104" s="12">
        <v>0</v>
      </c>
      <c r="V104" s="12">
        <v>0</v>
      </c>
      <c r="W104" s="12">
        <v>0</v>
      </c>
    </row>
    <row r="105" spans="1:23" x14ac:dyDescent="0.35">
      <c r="A105" s="7" t="s">
        <v>23</v>
      </c>
      <c r="B105" s="7" t="s">
        <v>367</v>
      </c>
      <c r="C105" s="7" t="s">
        <v>290</v>
      </c>
      <c r="D105" s="8">
        <v>317598</v>
      </c>
      <c r="E105" s="7" t="s">
        <v>227</v>
      </c>
      <c r="F105" s="7" t="s">
        <v>368</v>
      </c>
      <c r="G105" s="7" t="s">
        <v>48</v>
      </c>
      <c r="H105" s="7" t="s">
        <v>27</v>
      </c>
      <c r="I105" s="7" t="s">
        <v>28</v>
      </c>
      <c r="J105" s="7" t="s">
        <v>62</v>
      </c>
      <c r="K105" s="7" t="s">
        <v>63</v>
      </c>
      <c r="L105" s="7" t="s">
        <v>30</v>
      </c>
      <c r="M105" s="7"/>
      <c r="N105" s="9" t="s">
        <v>32</v>
      </c>
      <c r="O105" s="9" t="s">
        <v>64</v>
      </c>
      <c r="P105" s="9" t="s">
        <v>34</v>
      </c>
      <c r="Q105" s="10" t="str">
        <f>IF(IDMaster[[#This Row],[Consumption]]="Consumption",IDMaster[[#This Row],[Consumption]],IDMaster[[#This Row],[Basis]])</f>
        <v>Revenue</v>
      </c>
      <c r="R105" s="7" t="str">
        <f>IDMaster[[#This Row],[Supported Group]]&amp;"."&amp;IDMaster[[#This Row],[Basis]]</f>
        <v>Support.Revenue</v>
      </c>
      <c r="S105" s="11">
        <v>0.42185161428265983</v>
      </c>
      <c r="T105" s="12">
        <v>0.57814838571734017</v>
      </c>
      <c r="U105" s="12">
        <v>0</v>
      </c>
      <c r="V105" s="12">
        <v>0</v>
      </c>
      <c r="W105" s="12">
        <v>0</v>
      </c>
    </row>
    <row r="106" spans="1:23" x14ac:dyDescent="0.35">
      <c r="A106" s="7" t="s">
        <v>23</v>
      </c>
      <c r="B106" s="7" t="s">
        <v>369</v>
      </c>
      <c r="C106" s="7" t="s">
        <v>169</v>
      </c>
      <c r="D106" s="8"/>
      <c r="E106" s="7" t="s">
        <v>370</v>
      </c>
      <c r="F106" s="7" t="s">
        <v>371</v>
      </c>
      <c r="G106" s="7" t="s">
        <v>97</v>
      </c>
      <c r="H106" s="7" t="s">
        <v>27</v>
      </c>
      <c r="I106" s="7" t="s">
        <v>28</v>
      </c>
      <c r="J106" s="7" t="s">
        <v>40</v>
      </c>
      <c r="K106" s="7" t="s">
        <v>80</v>
      </c>
      <c r="L106" s="7" t="s">
        <v>42</v>
      </c>
      <c r="M106" s="7"/>
      <c r="N106" s="9" t="s">
        <v>32</v>
      </c>
      <c r="O106" s="9" t="s">
        <v>99</v>
      </c>
      <c r="P106" s="9" t="s">
        <v>34</v>
      </c>
      <c r="Q106" s="10" t="str">
        <f>IF(IDMaster[[#This Row],[Consumption]]="Consumption",IDMaster[[#This Row],[Consumption]],IDMaster[[#This Row],[Basis]])</f>
        <v>Revenue</v>
      </c>
      <c r="R106" s="7" t="str">
        <f>IDMaster[[#This Row],[Supported Group]]&amp;"."&amp;IDMaster[[#This Row],[Basis]]</f>
        <v>Security.Revenue</v>
      </c>
      <c r="S106" s="11">
        <v>0.42185161428265983</v>
      </c>
      <c r="T106" s="12">
        <v>0.57814838571734017</v>
      </c>
      <c r="U106" s="12">
        <v>0</v>
      </c>
      <c r="V106" s="12">
        <v>0</v>
      </c>
      <c r="W106" s="12">
        <v>0</v>
      </c>
    </row>
    <row r="107" spans="1:23" x14ac:dyDescent="0.35">
      <c r="A107" s="7" t="s">
        <v>23</v>
      </c>
      <c r="B107" s="7" t="s">
        <v>372</v>
      </c>
      <c r="C107" s="7" t="s">
        <v>373</v>
      </c>
      <c r="D107" s="8"/>
      <c r="E107" s="7" t="s">
        <v>374</v>
      </c>
      <c r="F107" s="7" t="s">
        <v>375</v>
      </c>
      <c r="G107" s="7" t="s">
        <v>97</v>
      </c>
      <c r="H107" s="7" t="s">
        <v>27</v>
      </c>
      <c r="I107" s="7" t="s">
        <v>28</v>
      </c>
      <c r="J107" s="7" t="s">
        <v>137</v>
      </c>
      <c r="K107" s="7" t="s">
        <v>63</v>
      </c>
      <c r="L107" s="7" t="s">
        <v>30</v>
      </c>
      <c r="M107" s="7"/>
      <c r="N107" s="9" t="s">
        <v>32</v>
      </c>
      <c r="O107" s="9" t="s">
        <v>99</v>
      </c>
      <c r="P107" s="9" t="s">
        <v>34</v>
      </c>
      <c r="Q107" s="10" t="str">
        <f>IF(IDMaster[[#This Row],[Consumption]]="Consumption",IDMaster[[#This Row],[Consumption]],IDMaster[[#This Row],[Basis]])</f>
        <v>Revenue</v>
      </c>
      <c r="R107" s="7" t="str">
        <f>IDMaster[[#This Row],[Supported Group]]&amp;"."&amp;IDMaster[[#This Row],[Basis]]</f>
        <v>Security.Revenue</v>
      </c>
      <c r="S107" s="11">
        <v>0.42185161428265983</v>
      </c>
      <c r="T107" s="12">
        <v>0.57814838571734017</v>
      </c>
      <c r="U107" s="12">
        <v>0</v>
      </c>
      <c r="V107" s="12">
        <v>0</v>
      </c>
      <c r="W107" s="12">
        <v>0</v>
      </c>
    </row>
    <row r="108" spans="1:23" x14ac:dyDescent="0.35">
      <c r="A108" s="7" t="s">
        <v>23</v>
      </c>
      <c r="B108" s="7" t="s">
        <v>376</v>
      </c>
      <c r="C108" s="7" t="s">
        <v>377</v>
      </c>
      <c r="D108" s="8">
        <v>320074</v>
      </c>
      <c r="E108" s="7" t="s">
        <v>378</v>
      </c>
      <c r="F108" s="7" t="s">
        <v>379</v>
      </c>
      <c r="G108" s="7" t="s">
        <v>97</v>
      </c>
      <c r="H108" s="7" t="s">
        <v>49</v>
      </c>
      <c r="I108" s="7" t="s">
        <v>28</v>
      </c>
      <c r="J108" s="7" t="s">
        <v>137</v>
      </c>
      <c r="K108" s="7" t="s">
        <v>63</v>
      </c>
      <c r="L108" s="7" t="s">
        <v>30</v>
      </c>
      <c r="M108" s="7" t="s">
        <v>350</v>
      </c>
      <c r="N108" s="9" t="s">
        <v>32</v>
      </c>
      <c r="O108" s="9" t="s">
        <v>141</v>
      </c>
      <c r="P108" s="9" t="s">
        <v>34</v>
      </c>
      <c r="Q108" s="10" t="str">
        <f>IF(IDMaster[[#This Row],[Consumption]]="Consumption",IDMaster[[#This Row],[Consumption]],IDMaster[[#This Row],[Basis]])</f>
        <v>Revenue</v>
      </c>
      <c r="R108" s="7" t="str">
        <f>IDMaster[[#This Row],[Supported Group]]&amp;"."&amp;IDMaster[[#This Row],[Basis]]</f>
        <v>Other.Revenue</v>
      </c>
      <c r="S108" s="11">
        <v>0.42185161428265983</v>
      </c>
      <c r="T108" s="12">
        <v>0.57814838571734017</v>
      </c>
      <c r="U108" s="12">
        <v>0</v>
      </c>
      <c r="V108" s="12">
        <v>0</v>
      </c>
      <c r="W108" s="12">
        <v>0</v>
      </c>
    </row>
    <row r="109" spans="1:23" x14ac:dyDescent="0.35">
      <c r="A109" s="7" t="s">
        <v>23</v>
      </c>
      <c r="B109" s="7" t="s">
        <v>380</v>
      </c>
      <c r="C109" s="7" t="s">
        <v>377</v>
      </c>
      <c r="D109" s="8">
        <v>320074</v>
      </c>
      <c r="E109" s="7" t="s">
        <v>374</v>
      </c>
      <c r="F109" s="7" t="s">
        <v>381</v>
      </c>
      <c r="G109" s="7" t="s">
        <v>97</v>
      </c>
      <c r="H109" s="7" t="s">
        <v>27</v>
      </c>
      <c r="I109" s="7" t="s">
        <v>28</v>
      </c>
      <c r="J109" s="7" t="s">
        <v>40</v>
      </c>
      <c r="K109" s="7" t="s">
        <v>80</v>
      </c>
      <c r="L109" s="7" t="s">
        <v>42</v>
      </c>
      <c r="M109" s="7"/>
      <c r="N109" s="9" t="s">
        <v>32</v>
      </c>
      <c r="O109" s="9" t="s">
        <v>141</v>
      </c>
      <c r="P109" s="9" t="s">
        <v>34</v>
      </c>
      <c r="Q109" s="10" t="str">
        <f>IF(IDMaster[[#This Row],[Consumption]]="Consumption",IDMaster[[#This Row],[Consumption]],IDMaster[[#This Row],[Basis]])</f>
        <v>Revenue</v>
      </c>
      <c r="R109" s="7" t="str">
        <f>IDMaster[[#This Row],[Supported Group]]&amp;"."&amp;IDMaster[[#This Row],[Basis]]</f>
        <v>Other.Revenue</v>
      </c>
      <c r="S109" s="11">
        <v>0.42185161428265983</v>
      </c>
      <c r="T109" s="12">
        <v>0.57814838571734017</v>
      </c>
      <c r="U109" s="12">
        <v>0</v>
      </c>
      <c r="V109" s="12">
        <v>0</v>
      </c>
      <c r="W109" s="12">
        <v>0</v>
      </c>
    </row>
    <row r="110" spans="1:23" x14ac:dyDescent="0.35">
      <c r="A110" s="7" t="s">
        <v>23</v>
      </c>
      <c r="B110" s="7" t="s">
        <v>382</v>
      </c>
      <c r="C110" s="7" t="s">
        <v>383</v>
      </c>
      <c r="D110" s="8"/>
      <c r="E110" s="7" t="s">
        <v>95</v>
      </c>
      <c r="F110" s="7" t="s">
        <v>384</v>
      </c>
      <c r="G110" s="7" t="s">
        <v>97</v>
      </c>
      <c r="H110" s="7" t="s">
        <v>49</v>
      </c>
      <c r="I110" s="7" t="s">
        <v>28</v>
      </c>
      <c r="J110" s="7" t="s">
        <v>348</v>
      </c>
      <c r="K110" s="7" t="s">
        <v>349</v>
      </c>
      <c r="L110" s="7" t="s">
        <v>350</v>
      </c>
      <c r="M110" s="7"/>
      <c r="N110" s="9" t="s">
        <v>32</v>
      </c>
      <c r="O110" s="9" t="s">
        <v>99</v>
      </c>
      <c r="P110" s="9" t="s">
        <v>34</v>
      </c>
      <c r="Q110" s="10" t="str">
        <f>IF(IDMaster[[#This Row],[Consumption]]="Consumption",IDMaster[[#This Row],[Consumption]],IDMaster[[#This Row],[Basis]])</f>
        <v>Revenue</v>
      </c>
      <c r="R110" s="7" t="str">
        <f>IDMaster[[#This Row],[Supported Group]]&amp;"."&amp;IDMaster[[#This Row],[Basis]]</f>
        <v>Security.Revenue</v>
      </c>
      <c r="S110" s="11">
        <v>0.42185161428265983</v>
      </c>
      <c r="T110" s="12">
        <v>0.57814838571734017</v>
      </c>
      <c r="U110" s="12">
        <v>0</v>
      </c>
      <c r="V110" s="12">
        <v>0</v>
      </c>
      <c r="W110" s="12">
        <v>0</v>
      </c>
    </row>
    <row r="111" spans="1:23" x14ac:dyDescent="0.35">
      <c r="A111" s="7" t="s">
        <v>23</v>
      </c>
      <c r="B111" s="7" t="s">
        <v>385</v>
      </c>
      <c r="C111" s="7" t="s">
        <v>280</v>
      </c>
      <c r="D111" s="8">
        <v>365729</v>
      </c>
      <c r="E111" s="7" t="s">
        <v>95</v>
      </c>
      <c r="F111" s="7" t="s">
        <v>386</v>
      </c>
      <c r="G111" s="7" t="s">
        <v>97</v>
      </c>
      <c r="H111" s="7" t="s">
        <v>27</v>
      </c>
      <c r="I111" s="7" t="s">
        <v>28</v>
      </c>
      <c r="J111" s="7" t="s">
        <v>137</v>
      </c>
      <c r="K111" s="7" t="s">
        <v>63</v>
      </c>
      <c r="L111" s="7" t="s">
        <v>30</v>
      </c>
      <c r="M111" s="7"/>
      <c r="N111" s="9" t="s">
        <v>32</v>
      </c>
      <c r="O111" s="9" t="s">
        <v>141</v>
      </c>
      <c r="P111" s="9" t="s">
        <v>34</v>
      </c>
      <c r="Q111" s="10" t="str">
        <f>IF(IDMaster[[#This Row],[Consumption]]="Consumption",IDMaster[[#This Row],[Consumption]],IDMaster[[#This Row],[Basis]])</f>
        <v>Revenue</v>
      </c>
      <c r="R111" s="7" t="str">
        <f>IDMaster[[#This Row],[Supported Group]]&amp;"."&amp;IDMaster[[#This Row],[Basis]]</f>
        <v>Other.Revenue</v>
      </c>
      <c r="S111" s="11">
        <v>0.42185161428265983</v>
      </c>
      <c r="T111" s="12">
        <v>0.57814838571734017</v>
      </c>
      <c r="U111" s="12">
        <v>0</v>
      </c>
      <c r="V111" s="12">
        <v>0</v>
      </c>
      <c r="W111" s="12">
        <v>0</v>
      </c>
    </row>
    <row r="112" spans="1:23" x14ac:dyDescent="0.35">
      <c r="A112" s="7" t="s">
        <v>23</v>
      </c>
      <c r="B112" s="7" t="s">
        <v>387</v>
      </c>
      <c r="C112" s="7" t="s">
        <v>388</v>
      </c>
      <c r="D112" s="8">
        <v>368877</v>
      </c>
      <c r="E112" s="7" t="s">
        <v>374</v>
      </c>
      <c r="F112" s="7" t="s">
        <v>389</v>
      </c>
      <c r="G112" s="7" t="s">
        <v>97</v>
      </c>
      <c r="H112" s="7" t="s">
        <v>27</v>
      </c>
      <c r="I112" s="7" t="s">
        <v>28</v>
      </c>
      <c r="J112" s="7" t="s">
        <v>137</v>
      </c>
      <c r="K112" s="7" t="s">
        <v>63</v>
      </c>
      <c r="L112" s="7" t="s">
        <v>30</v>
      </c>
      <c r="M112" s="7"/>
      <c r="N112" s="9" t="s">
        <v>32</v>
      </c>
      <c r="O112" s="9" t="s">
        <v>99</v>
      </c>
      <c r="P112" s="9" t="s">
        <v>34</v>
      </c>
      <c r="Q112" s="10" t="str">
        <f>IF(IDMaster[[#This Row],[Consumption]]="Consumption",IDMaster[[#This Row],[Consumption]],IDMaster[[#This Row],[Basis]])</f>
        <v>Revenue</v>
      </c>
      <c r="R112" s="7" t="str">
        <f>IDMaster[[#This Row],[Supported Group]]&amp;"."&amp;IDMaster[[#This Row],[Basis]]</f>
        <v>Security.Revenue</v>
      </c>
      <c r="S112" s="11">
        <v>0.42185161428265983</v>
      </c>
      <c r="T112" s="12">
        <v>0.57814838571734017</v>
      </c>
      <c r="U112" s="12">
        <v>0</v>
      </c>
      <c r="V112" s="12">
        <v>0</v>
      </c>
      <c r="W112" s="12">
        <v>0</v>
      </c>
    </row>
    <row r="113" spans="1:23" x14ac:dyDescent="0.35">
      <c r="A113" s="7" t="s">
        <v>23</v>
      </c>
      <c r="B113" s="7" t="s">
        <v>390</v>
      </c>
      <c r="C113" s="7" t="s">
        <v>388</v>
      </c>
      <c r="D113" s="8">
        <v>368877</v>
      </c>
      <c r="E113" s="7" t="s">
        <v>374</v>
      </c>
      <c r="F113" s="7" t="s">
        <v>391</v>
      </c>
      <c r="G113" s="7" t="s">
        <v>97</v>
      </c>
      <c r="H113" s="7" t="s">
        <v>49</v>
      </c>
      <c r="I113" s="7" t="s">
        <v>28</v>
      </c>
      <c r="J113" s="7" t="s">
        <v>40</v>
      </c>
      <c r="K113" s="7" t="s">
        <v>80</v>
      </c>
      <c r="L113" s="7" t="s">
        <v>42</v>
      </c>
      <c r="M113" s="7"/>
      <c r="N113" s="9" t="s">
        <v>32</v>
      </c>
      <c r="O113" s="9" t="s">
        <v>99</v>
      </c>
      <c r="P113" s="9" t="s">
        <v>34</v>
      </c>
      <c r="Q113" s="10" t="str">
        <f>IF(IDMaster[[#This Row],[Consumption]]="Consumption",IDMaster[[#This Row],[Consumption]],IDMaster[[#This Row],[Basis]])</f>
        <v>Revenue</v>
      </c>
      <c r="R113" s="7" t="str">
        <f>IDMaster[[#This Row],[Supported Group]]&amp;"."&amp;IDMaster[[#This Row],[Basis]]</f>
        <v>Security.Revenue</v>
      </c>
      <c r="S113" s="11">
        <v>0.42185161428265983</v>
      </c>
      <c r="T113" s="12">
        <v>0.57814838571734017</v>
      </c>
      <c r="U113" s="12">
        <v>0</v>
      </c>
      <c r="V113" s="12">
        <v>0</v>
      </c>
      <c r="W113" s="12">
        <v>0</v>
      </c>
    </row>
    <row r="114" spans="1:23" x14ac:dyDescent="0.35">
      <c r="A114" s="7" t="s">
        <v>23</v>
      </c>
      <c r="B114" s="7" t="s">
        <v>392</v>
      </c>
      <c r="C114" s="7" t="s">
        <v>393</v>
      </c>
      <c r="D114" s="8">
        <v>288645</v>
      </c>
      <c r="E114" s="7" t="s">
        <v>374</v>
      </c>
      <c r="F114" s="7" t="s">
        <v>394</v>
      </c>
      <c r="G114" s="7" t="s">
        <v>97</v>
      </c>
      <c r="H114" s="7" t="s">
        <v>27</v>
      </c>
      <c r="I114" s="7" t="s">
        <v>28</v>
      </c>
      <c r="J114" s="7" t="s">
        <v>137</v>
      </c>
      <c r="K114" s="7" t="s">
        <v>63</v>
      </c>
      <c r="L114" s="7" t="s">
        <v>30</v>
      </c>
      <c r="M114" s="7" t="s">
        <v>43</v>
      </c>
      <c r="N114" s="9" t="s">
        <v>32</v>
      </c>
      <c r="O114" s="9" t="s">
        <v>99</v>
      </c>
      <c r="P114" s="9" t="s">
        <v>34</v>
      </c>
      <c r="Q114" s="10" t="str">
        <f>IF(IDMaster[[#This Row],[Consumption]]="Consumption",IDMaster[[#This Row],[Consumption]],IDMaster[[#This Row],[Basis]])</f>
        <v>Revenue</v>
      </c>
      <c r="R114" s="7" t="str">
        <f>IDMaster[[#This Row],[Supported Group]]&amp;"."&amp;IDMaster[[#This Row],[Basis]]</f>
        <v>Security.Revenue</v>
      </c>
      <c r="S114" s="11">
        <v>0.42185161428265983</v>
      </c>
      <c r="T114" s="12">
        <v>0.57814838571734017</v>
      </c>
      <c r="U114" s="12">
        <v>0</v>
      </c>
      <c r="V114" s="12">
        <v>0</v>
      </c>
      <c r="W114" s="12">
        <v>0</v>
      </c>
    </row>
    <row r="115" spans="1:23" x14ac:dyDescent="0.35">
      <c r="A115" s="7" t="s">
        <v>23</v>
      </c>
      <c r="B115" s="7" t="s">
        <v>395</v>
      </c>
      <c r="C115" s="7" t="s">
        <v>393</v>
      </c>
      <c r="D115" s="8">
        <v>288645</v>
      </c>
      <c r="E115" s="7" t="s">
        <v>374</v>
      </c>
      <c r="F115" s="7" t="s">
        <v>396</v>
      </c>
      <c r="G115" s="7" t="s">
        <v>97</v>
      </c>
      <c r="H115" s="7" t="s">
        <v>27</v>
      </c>
      <c r="I115" s="7" t="s">
        <v>28</v>
      </c>
      <c r="J115" s="7" t="s">
        <v>137</v>
      </c>
      <c r="K115" s="7" t="s">
        <v>63</v>
      </c>
      <c r="L115" s="7" t="s">
        <v>30</v>
      </c>
      <c r="M115" s="7" t="s">
        <v>43</v>
      </c>
      <c r="N115" s="9" t="s">
        <v>32</v>
      </c>
      <c r="O115" s="9" t="s">
        <v>99</v>
      </c>
      <c r="P115" s="9" t="s">
        <v>34</v>
      </c>
      <c r="Q115" s="10" t="str">
        <f>IF(IDMaster[[#This Row],[Consumption]]="Consumption",IDMaster[[#This Row],[Consumption]],IDMaster[[#This Row],[Basis]])</f>
        <v>Revenue</v>
      </c>
      <c r="R115" s="7" t="str">
        <f>IDMaster[[#This Row],[Supported Group]]&amp;"."&amp;IDMaster[[#This Row],[Basis]]</f>
        <v>Security.Revenue</v>
      </c>
      <c r="S115" s="11">
        <v>0.42185161428265983</v>
      </c>
      <c r="T115" s="12">
        <v>0.57814838571734017</v>
      </c>
      <c r="U115" s="12">
        <v>0</v>
      </c>
      <c r="V115" s="12">
        <v>0</v>
      </c>
      <c r="W115" s="12">
        <v>0</v>
      </c>
    </row>
    <row r="116" spans="1:23" x14ac:dyDescent="0.35">
      <c r="A116" s="7" t="s">
        <v>23</v>
      </c>
      <c r="B116" s="7" t="s">
        <v>397</v>
      </c>
      <c r="C116" s="7" t="s">
        <v>383</v>
      </c>
      <c r="D116" s="8"/>
      <c r="E116" s="7" t="s">
        <v>370</v>
      </c>
      <c r="F116" s="7" t="s">
        <v>398</v>
      </c>
      <c r="G116" s="7" t="s">
        <v>97</v>
      </c>
      <c r="H116" s="7" t="s">
        <v>49</v>
      </c>
      <c r="I116" s="7" t="s">
        <v>28</v>
      </c>
      <c r="J116" s="7" t="s">
        <v>348</v>
      </c>
      <c r="K116" s="7" t="s">
        <v>349</v>
      </c>
      <c r="L116" s="7" t="s">
        <v>350</v>
      </c>
      <c r="M116" s="7"/>
      <c r="N116" s="9" t="s">
        <v>32</v>
      </c>
      <c r="O116" s="9" t="s">
        <v>99</v>
      </c>
      <c r="P116" s="9" t="s">
        <v>34</v>
      </c>
      <c r="Q116" s="10" t="str">
        <f>IF(IDMaster[[#This Row],[Consumption]]="Consumption",IDMaster[[#This Row],[Consumption]],IDMaster[[#This Row],[Basis]])</f>
        <v>Revenue</v>
      </c>
      <c r="R116" s="7" t="str">
        <f>IDMaster[[#This Row],[Supported Group]]&amp;"."&amp;IDMaster[[#This Row],[Basis]]</f>
        <v>Security.Revenue</v>
      </c>
      <c r="S116" s="11">
        <v>0.42185161428265983</v>
      </c>
      <c r="T116" s="12">
        <v>0.57814838571734017</v>
      </c>
      <c r="U116" s="12">
        <v>0</v>
      </c>
      <c r="V116" s="12">
        <v>0</v>
      </c>
      <c r="W116" s="12">
        <v>0</v>
      </c>
    </row>
    <row r="117" spans="1:23" x14ac:dyDescent="0.35">
      <c r="A117" s="7" t="s">
        <v>23</v>
      </c>
      <c r="B117" s="7" t="s">
        <v>399</v>
      </c>
      <c r="C117" s="7" t="s">
        <v>284</v>
      </c>
      <c r="D117" s="8"/>
      <c r="E117" s="7" t="s">
        <v>284</v>
      </c>
      <c r="F117" s="7" t="s">
        <v>284</v>
      </c>
      <c r="G117" s="7" t="s">
        <v>284</v>
      </c>
      <c r="H117" s="7" t="s">
        <v>284</v>
      </c>
      <c r="I117" s="7" t="s">
        <v>28</v>
      </c>
      <c r="J117" s="7"/>
      <c r="K117" s="7"/>
      <c r="L117" s="7"/>
      <c r="M117" s="7"/>
      <c r="N117" s="9" t="s">
        <v>32</v>
      </c>
      <c r="O117" s="9" t="s">
        <v>141</v>
      </c>
      <c r="P117" s="9" t="s">
        <v>34</v>
      </c>
      <c r="Q117" s="10" t="str">
        <f>IF(IDMaster[[#This Row],[Consumption]]="Consumption",IDMaster[[#This Row],[Consumption]],IDMaster[[#This Row],[Basis]])</f>
        <v>Revenue</v>
      </c>
      <c r="R117" s="7" t="str">
        <f>IDMaster[[#This Row],[Supported Group]]&amp;"."&amp;IDMaster[[#This Row],[Basis]]</f>
        <v>Other.Revenue</v>
      </c>
      <c r="S117" s="11">
        <v>0.42185161428265983</v>
      </c>
      <c r="T117" s="12">
        <v>0.57814838571734017</v>
      </c>
      <c r="U117" s="12">
        <v>0</v>
      </c>
      <c r="V117" s="12">
        <v>0</v>
      </c>
      <c r="W117" s="12">
        <v>0</v>
      </c>
    </row>
    <row r="118" spans="1:23" x14ac:dyDescent="0.35">
      <c r="A118" s="7" t="s">
        <v>23</v>
      </c>
      <c r="B118" s="7" t="s">
        <v>400</v>
      </c>
      <c r="C118" s="7" t="s">
        <v>284</v>
      </c>
      <c r="D118" s="8"/>
      <c r="E118" s="7" t="s">
        <v>284</v>
      </c>
      <c r="F118" s="7" t="s">
        <v>284</v>
      </c>
      <c r="G118" s="7" t="s">
        <v>284</v>
      </c>
      <c r="H118" s="7" t="s">
        <v>284</v>
      </c>
      <c r="I118" s="7" t="s">
        <v>28</v>
      </c>
      <c r="J118" s="7"/>
      <c r="K118" s="7"/>
      <c r="L118" s="7"/>
      <c r="M118" s="7"/>
      <c r="N118" s="9" t="s">
        <v>32</v>
      </c>
      <c r="O118" s="9" t="s">
        <v>141</v>
      </c>
      <c r="P118" s="9" t="s">
        <v>34</v>
      </c>
      <c r="Q118" s="10" t="str">
        <f>IF(IDMaster[[#This Row],[Consumption]]="Consumption",IDMaster[[#This Row],[Consumption]],IDMaster[[#This Row],[Basis]])</f>
        <v>Revenue</v>
      </c>
      <c r="R118" s="7" t="str">
        <f>IDMaster[[#This Row],[Supported Group]]&amp;"."&amp;IDMaster[[#This Row],[Basis]]</f>
        <v>Other.Revenue</v>
      </c>
      <c r="S118" s="11">
        <v>0.42185161428265983</v>
      </c>
      <c r="T118" s="12">
        <v>0.57814838571734017</v>
      </c>
      <c r="U118" s="12">
        <v>0</v>
      </c>
      <c r="V118" s="12">
        <v>0</v>
      </c>
      <c r="W118" s="12">
        <v>0</v>
      </c>
    </row>
    <row r="119" spans="1:23" x14ac:dyDescent="0.35">
      <c r="A119" s="7" t="s">
        <v>23</v>
      </c>
      <c r="B119" s="7" t="s">
        <v>401</v>
      </c>
      <c r="C119" s="7" t="s">
        <v>284</v>
      </c>
      <c r="D119" s="8"/>
      <c r="E119" s="7" t="s">
        <v>284</v>
      </c>
      <c r="F119" s="7" t="s">
        <v>284</v>
      </c>
      <c r="G119" s="7" t="s">
        <v>284</v>
      </c>
      <c r="H119" s="7" t="s">
        <v>284</v>
      </c>
      <c r="I119" s="7" t="s">
        <v>28</v>
      </c>
      <c r="J119" s="7"/>
      <c r="K119" s="7"/>
      <c r="L119" s="7"/>
      <c r="M119" s="7"/>
      <c r="N119" s="9" t="s">
        <v>32</v>
      </c>
      <c r="O119" s="9" t="s">
        <v>141</v>
      </c>
      <c r="P119" s="9" t="s">
        <v>34</v>
      </c>
      <c r="Q119" s="10" t="str">
        <f>IF(IDMaster[[#This Row],[Consumption]]="Consumption",IDMaster[[#This Row],[Consumption]],IDMaster[[#This Row],[Basis]])</f>
        <v>Revenue</v>
      </c>
      <c r="R119" s="7" t="str">
        <f>IDMaster[[#This Row],[Supported Group]]&amp;"."&amp;IDMaster[[#This Row],[Basis]]</f>
        <v>Other.Revenue</v>
      </c>
      <c r="S119" s="11">
        <v>0.42185161428265983</v>
      </c>
      <c r="T119" s="12">
        <v>0.57814838571734017</v>
      </c>
      <c r="U119" s="12">
        <v>0</v>
      </c>
      <c r="V119" s="12">
        <v>0</v>
      </c>
      <c r="W119" s="12">
        <v>0</v>
      </c>
    </row>
    <row r="120" spans="1:23" x14ac:dyDescent="0.35">
      <c r="A120" s="7" t="s">
        <v>23</v>
      </c>
      <c r="B120" s="7" t="s">
        <v>402</v>
      </c>
      <c r="C120" s="7" t="s">
        <v>284</v>
      </c>
      <c r="D120" s="8"/>
      <c r="E120" s="7" t="s">
        <v>284</v>
      </c>
      <c r="F120" s="7" t="s">
        <v>284</v>
      </c>
      <c r="G120" s="7" t="s">
        <v>284</v>
      </c>
      <c r="H120" s="7" t="s">
        <v>284</v>
      </c>
      <c r="I120" s="7" t="s">
        <v>28</v>
      </c>
      <c r="J120" s="7"/>
      <c r="K120" s="7"/>
      <c r="L120" s="7"/>
      <c r="M120" s="7"/>
      <c r="N120" s="9" t="s">
        <v>32</v>
      </c>
      <c r="O120" s="9" t="s">
        <v>141</v>
      </c>
      <c r="P120" s="9" t="s">
        <v>34</v>
      </c>
      <c r="Q120" s="10" t="str">
        <f>IF(IDMaster[[#This Row],[Consumption]]="Consumption",IDMaster[[#This Row],[Consumption]],IDMaster[[#This Row],[Basis]])</f>
        <v>Revenue</v>
      </c>
      <c r="R120" s="7" t="str">
        <f>IDMaster[[#This Row],[Supported Group]]&amp;"."&amp;IDMaster[[#This Row],[Basis]]</f>
        <v>Other.Revenue</v>
      </c>
      <c r="S120" s="11">
        <v>0.42185161428265983</v>
      </c>
      <c r="T120" s="12">
        <v>0.57814838571734017</v>
      </c>
      <c r="U120" s="12">
        <v>0</v>
      </c>
      <c r="V120" s="12">
        <v>0</v>
      </c>
      <c r="W120" s="12">
        <v>0</v>
      </c>
    </row>
    <row r="121" spans="1:23" x14ac:dyDescent="0.35">
      <c r="A121" s="7" t="s">
        <v>23</v>
      </c>
      <c r="B121" s="7" t="s">
        <v>403</v>
      </c>
      <c r="C121" s="15" t="s">
        <v>404</v>
      </c>
      <c r="D121" s="8">
        <v>256620</v>
      </c>
      <c r="E121" s="7" t="s">
        <v>405</v>
      </c>
      <c r="F121" s="7" t="s">
        <v>406</v>
      </c>
      <c r="G121" s="7" t="s">
        <v>72</v>
      </c>
      <c r="H121" s="7" t="s">
        <v>49</v>
      </c>
      <c r="I121" s="7" t="s">
        <v>28</v>
      </c>
      <c r="J121" s="7" t="s">
        <v>40</v>
      </c>
      <c r="K121" s="7" t="s">
        <v>80</v>
      </c>
      <c r="L121" s="7" t="s">
        <v>42</v>
      </c>
      <c r="M121" s="7"/>
      <c r="N121" s="9" t="s">
        <v>32</v>
      </c>
      <c r="O121" s="9" t="s">
        <v>407</v>
      </c>
      <c r="P121" s="9" t="s">
        <v>34</v>
      </c>
      <c r="Q121" s="10" t="str">
        <f>IF(IDMaster[[#This Row],[Consumption]]="Consumption",IDMaster[[#This Row],[Consumption]],IDMaster[[#This Row],[Basis]])</f>
        <v>Revenue</v>
      </c>
      <c r="R121" s="7" t="str">
        <f>IDMaster[[#This Row],[Supported Group]]&amp;"."&amp;IDMaster[[#This Row],[Basis]]</f>
        <v>IT Dev Tools.Revenue</v>
      </c>
      <c r="S121" s="11">
        <v>0.42185161428265983</v>
      </c>
      <c r="T121" s="12">
        <v>0.57814838571734017</v>
      </c>
      <c r="U121" s="12">
        <v>0</v>
      </c>
      <c r="V121" s="12">
        <v>0</v>
      </c>
      <c r="W121" s="12">
        <v>0</v>
      </c>
    </row>
    <row r="122" spans="1:23" x14ac:dyDescent="0.35">
      <c r="A122" s="7" t="s">
        <v>23</v>
      </c>
      <c r="B122" s="7" t="s">
        <v>408</v>
      </c>
      <c r="C122" s="7" t="s">
        <v>409</v>
      </c>
      <c r="D122" s="8"/>
      <c r="E122" s="7" t="s">
        <v>405</v>
      </c>
      <c r="F122" s="7" t="s">
        <v>410</v>
      </c>
      <c r="G122" s="7" t="s">
        <v>72</v>
      </c>
      <c r="H122" s="7" t="s">
        <v>49</v>
      </c>
      <c r="I122" s="7" t="s">
        <v>28</v>
      </c>
      <c r="J122" s="7" t="s">
        <v>40</v>
      </c>
      <c r="K122" s="7" t="s">
        <v>80</v>
      </c>
      <c r="L122" s="7" t="s">
        <v>42</v>
      </c>
      <c r="M122" s="7"/>
      <c r="N122" s="9" t="s">
        <v>32</v>
      </c>
      <c r="O122" s="9" t="s">
        <v>407</v>
      </c>
      <c r="P122" s="9" t="s">
        <v>34</v>
      </c>
      <c r="Q122" s="10" t="str">
        <f>IF(IDMaster[[#This Row],[Consumption]]="Consumption",IDMaster[[#This Row],[Consumption]],IDMaster[[#This Row],[Basis]])</f>
        <v>Revenue</v>
      </c>
      <c r="R122" s="7" t="str">
        <f>IDMaster[[#This Row],[Supported Group]]&amp;"."&amp;IDMaster[[#This Row],[Basis]]</f>
        <v>IT Dev Tools.Revenue</v>
      </c>
      <c r="S122" s="11">
        <v>0.42185161428265983</v>
      </c>
      <c r="T122" s="12">
        <v>0.57814838571734017</v>
      </c>
      <c r="U122" s="12">
        <v>0</v>
      </c>
      <c r="V122" s="12">
        <v>0</v>
      </c>
      <c r="W122" s="12">
        <v>0</v>
      </c>
    </row>
    <row r="123" spans="1:23" x14ac:dyDescent="0.35">
      <c r="A123" s="7" t="s">
        <v>23</v>
      </c>
      <c r="B123" s="7" t="s">
        <v>411</v>
      </c>
      <c r="C123" s="7" t="s">
        <v>412</v>
      </c>
      <c r="D123" s="8"/>
      <c r="E123" s="7" t="s">
        <v>405</v>
      </c>
      <c r="F123" s="7" t="s">
        <v>413</v>
      </c>
      <c r="G123" s="7" t="s">
        <v>72</v>
      </c>
      <c r="H123" s="7" t="s">
        <v>49</v>
      </c>
      <c r="I123" s="7" t="s">
        <v>28</v>
      </c>
      <c r="J123" s="7" t="s">
        <v>40</v>
      </c>
      <c r="K123" s="7" t="s">
        <v>80</v>
      </c>
      <c r="L123" s="7" t="s">
        <v>42</v>
      </c>
      <c r="M123" s="7"/>
      <c r="N123" s="9" t="s">
        <v>32</v>
      </c>
      <c r="O123" s="9" t="s">
        <v>407</v>
      </c>
      <c r="P123" s="9" t="s">
        <v>34</v>
      </c>
      <c r="Q123" s="10" t="str">
        <f>IF(IDMaster[[#This Row],[Consumption]]="Consumption",IDMaster[[#This Row],[Consumption]],IDMaster[[#This Row],[Basis]])</f>
        <v>Revenue</v>
      </c>
      <c r="R123" s="7" t="str">
        <f>IDMaster[[#This Row],[Supported Group]]&amp;"."&amp;IDMaster[[#This Row],[Basis]]</f>
        <v>IT Dev Tools.Revenue</v>
      </c>
      <c r="S123" s="11">
        <v>0.42185161428265983</v>
      </c>
      <c r="T123" s="12">
        <v>0.57814838571734017</v>
      </c>
      <c r="U123" s="12">
        <v>0</v>
      </c>
      <c r="V123" s="12">
        <v>0</v>
      </c>
      <c r="W123" s="12">
        <v>0</v>
      </c>
    </row>
    <row r="124" spans="1:23" x14ac:dyDescent="0.35">
      <c r="A124" s="7" t="s">
        <v>23</v>
      </c>
      <c r="B124" s="7" t="s">
        <v>414</v>
      </c>
      <c r="C124" s="7" t="s">
        <v>415</v>
      </c>
      <c r="D124" s="8">
        <v>350317</v>
      </c>
      <c r="E124" s="7" t="s">
        <v>405</v>
      </c>
      <c r="F124" s="7" t="s">
        <v>415</v>
      </c>
      <c r="G124" s="7" t="s">
        <v>72</v>
      </c>
      <c r="H124" s="7" t="s">
        <v>49</v>
      </c>
      <c r="I124" s="7" t="s">
        <v>28</v>
      </c>
      <c r="J124" s="7" t="s">
        <v>40</v>
      </c>
      <c r="K124" s="7" t="s">
        <v>80</v>
      </c>
      <c r="L124" s="7" t="s">
        <v>42</v>
      </c>
      <c r="M124" s="7"/>
      <c r="N124" s="9" t="s">
        <v>32</v>
      </c>
      <c r="O124" s="9" t="s">
        <v>407</v>
      </c>
      <c r="P124" s="9" t="s">
        <v>34</v>
      </c>
      <c r="Q124" s="10" t="str">
        <f>IF(IDMaster[[#This Row],[Consumption]]="Consumption",IDMaster[[#This Row],[Consumption]],IDMaster[[#This Row],[Basis]])</f>
        <v>Revenue</v>
      </c>
      <c r="R124" s="7" t="str">
        <f>IDMaster[[#This Row],[Supported Group]]&amp;"."&amp;IDMaster[[#This Row],[Basis]]</f>
        <v>IT Dev Tools.Revenue</v>
      </c>
      <c r="S124" s="11">
        <v>0.42185161428265983</v>
      </c>
      <c r="T124" s="12">
        <v>0.57814838571734017</v>
      </c>
      <c r="U124" s="12">
        <v>0</v>
      </c>
      <c r="V124" s="12">
        <v>0</v>
      </c>
      <c r="W124" s="12">
        <v>0</v>
      </c>
    </row>
    <row r="125" spans="1:23" x14ac:dyDescent="0.35">
      <c r="A125" s="7" t="s">
        <v>23</v>
      </c>
      <c r="B125" s="7" t="s">
        <v>416</v>
      </c>
      <c r="C125" s="7" t="s">
        <v>284</v>
      </c>
      <c r="D125" s="8"/>
      <c r="E125" s="7" t="s">
        <v>284</v>
      </c>
      <c r="F125" s="7" t="s">
        <v>284</v>
      </c>
      <c r="G125" s="7" t="s">
        <v>284</v>
      </c>
      <c r="H125" s="7" t="s">
        <v>284</v>
      </c>
      <c r="I125" s="7" t="s">
        <v>28</v>
      </c>
      <c r="J125" s="7"/>
      <c r="K125" s="7"/>
      <c r="L125" s="7"/>
      <c r="M125" s="7"/>
      <c r="N125" s="9" t="s">
        <v>32</v>
      </c>
      <c r="O125" s="9" t="s">
        <v>141</v>
      </c>
      <c r="P125" s="9" t="s">
        <v>34</v>
      </c>
      <c r="Q125" s="10" t="str">
        <f>IF(IDMaster[[#This Row],[Consumption]]="Consumption",IDMaster[[#This Row],[Consumption]],IDMaster[[#This Row],[Basis]])</f>
        <v>Revenue</v>
      </c>
      <c r="R125" s="7" t="str">
        <f>IDMaster[[#This Row],[Supported Group]]&amp;"."&amp;IDMaster[[#This Row],[Basis]]</f>
        <v>Other.Revenue</v>
      </c>
      <c r="S125" s="11">
        <v>0.42185161428265983</v>
      </c>
      <c r="T125" s="12">
        <v>0.57814838571734017</v>
      </c>
      <c r="U125" s="12">
        <v>0</v>
      </c>
      <c r="V125" s="12">
        <v>0</v>
      </c>
      <c r="W125" s="12">
        <v>0</v>
      </c>
    </row>
    <row r="126" spans="1:23" x14ac:dyDescent="0.35">
      <c r="A126" s="7" t="s">
        <v>23</v>
      </c>
      <c r="B126" s="7" t="s">
        <v>417</v>
      </c>
      <c r="C126" s="7" t="s">
        <v>284</v>
      </c>
      <c r="D126" s="8"/>
      <c r="E126" s="7" t="s">
        <v>284</v>
      </c>
      <c r="F126" s="7" t="s">
        <v>284</v>
      </c>
      <c r="G126" s="7" t="s">
        <v>284</v>
      </c>
      <c r="H126" s="7" t="s">
        <v>284</v>
      </c>
      <c r="I126" s="7" t="s">
        <v>28</v>
      </c>
      <c r="J126" s="7"/>
      <c r="K126" s="7"/>
      <c r="L126" s="7"/>
      <c r="M126" s="7"/>
      <c r="N126" s="9" t="s">
        <v>32</v>
      </c>
      <c r="O126" s="9" t="s">
        <v>141</v>
      </c>
      <c r="P126" s="9" t="s">
        <v>34</v>
      </c>
      <c r="Q126" s="10" t="str">
        <f>IF(IDMaster[[#This Row],[Consumption]]="Consumption",IDMaster[[#This Row],[Consumption]],IDMaster[[#This Row],[Basis]])</f>
        <v>Revenue</v>
      </c>
      <c r="R126" s="7" t="str">
        <f>IDMaster[[#This Row],[Supported Group]]&amp;"."&amp;IDMaster[[#This Row],[Basis]]</f>
        <v>Other.Revenue</v>
      </c>
      <c r="S126" s="11">
        <v>0.42185161428265983</v>
      </c>
      <c r="T126" s="12">
        <v>0.57814838571734017</v>
      </c>
      <c r="U126" s="12">
        <v>0</v>
      </c>
      <c r="V126" s="12">
        <v>0</v>
      </c>
      <c r="W126" s="12">
        <v>0</v>
      </c>
    </row>
    <row r="127" spans="1:23" x14ac:dyDescent="0.35">
      <c r="A127" s="7" t="s">
        <v>23</v>
      </c>
      <c r="B127" s="7" t="s">
        <v>418</v>
      </c>
      <c r="C127" s="7" t="s">
        <v>284</v>
      </c>
      <c r="D127" s="8"/>
      <c r="E127" s="7" t="s">
        <v>284</v>
      </c>
      <c r="F127" s="7" t="s">
        <v>284</v>
      </c>
      <c r="G127" s="7" t="s">
        <v>284</v>
      </c>
      <c r="H127" s="7" t="s">
        <v>284</v>
      </c>
      <c r="I127" s="7" t="s">
        <v>28</v>
      </c>
      <c r="J127" s="7"/>
      <c r="K127" s="7"/>
      <c r="L127" s="7"/>
      <c r="M127" s="7"/>
      <c r="N127" s="9" t="s">
        <v>32</v>
      </c>
      <c r="O127" s="9" t="s">
        <v>141</v>
      </c>
      <c r="P127" s="9" t="s">
        <v>34</v>
      </c>
      <c r="Q127" s="10" t="str">
        <f>IF(IDMaster[[#This Row],[Consumption]]="Consumption",IDMaster[[#This Row],[Consumption]],IDMaster[[#This Row],[Basis]])</f>
        <v>Revenue</v>
      </c>
      <c r="R127" s="7" t="str">
        <f>IDMaster[[#This Row],[Supported Group]]&amp;"."&amp;IDMaster[[#This Row],[Basis]]</f>
        <v>Other.Revenue</v>
      </c>
      <c r="S127" s="11">
        <v>0.42185161428265983</v>
      </c>
      <c r="T127" s="12">
        <v>0.57814838571734017</v>
      </c>
      <c r="U127" s="12">
        <v>0</v>
      </c>
      <c r="V127" s="12">
        <v>0</v>
      </c>
      <c r="W127" s="12">
        <v>0</v>
      </c>
    </row>
    <row r="128" spans="1:23" x14ac:dyDescent="0.35">
      <c r="A128" s="7" t="s">
        <v>23</v>
      </c>
      <c r="B128" s="7" t="s">
        <v>419</v>
      </c>
      <c r="C128" s="7" t="s">
        <v>284</v>
      </c>
      <c r="D128" s="8"/>
      <c r="E128" s="7" t="s">
        <v>284</v>
      </c>
      <c r="F128" s="7" t="s">
        <v>284</v>
      </c>
      <c r="G128" s="7" t="s">
        <v>284</v>
      </c>
      <c r="H128" s="7" t="s">
        <v>284</v>
      </c>
      <c r="I128" s="7" t="s">
        <v>28</v>
      </c>
      <c r="J128" s="7"/>
      <c r="K128" s="7"/>
      <c r="L128" s="7"/>
      <c r="M128" s="7"/>
      <c r="N128" s="9" t="s">
        <v>32</v>
      </c>
      <c r="O128" s="9" t="s">
        <v>141</v>
      </c>
      <c r="P128" s="9" t="s">
        <v>34</v>
      </c>
      <c r="Q128" s="10" t="str">
        <f>IF(IDMaster[[#This Row],[Consumption]]="Consumption",IDMaster[[#This Row],[Consumption]],IDMaster[[#This Row],[Basis]])</f>
        <v>Revenue</v>
      </c>
      <c r="R128" s="7" t="str">
        <f>IDMaster[[#This Row],[Supported Group]]&amp;"."&amp;IDMaster[[#This Row],[Basis]]</f>
        <v>Other.Revenue</v>
      </c>
      <c r="S128" s="11">
        <v>0.42185161428265983</v>
      </c>
      <c r="T128" s="12">
        <v>0.57814838571734017</v>
      </c>
      <c r="U128" s="12">
        <v>0</v>
      </c>
      <c r="V128" s="12">
        <v>0</v>
      </c>
      <c r="W128" s="12">
        <v>0</v>
      </c>
    </row>
    <row r="129" spans="1:23" x14ac:dyDescent="0.35">
      <c r="A129" s="7" t="s">
        <v>23</v>
      </c>
      <c r="B129" s="7" t="s">
        <v>420</v>
      </c>
      <c r="C129" s="7" t="s">
        <v>284</v>
      </c>
      <c r="D129" s="8"/>
      <c r="E129" s="7" t="s">
        <v>284</v>
      </c>
      <c r="F129" s="7" t="s">
        <v>284</v>
      </c>
      <c r="G129" s="7" t="s">
        <v>284</v>
      </c>
      <c r="H129" s="7" t="s">
        <v>284</v>
      </c>
      <c r="I129" s="7" t="s">
        <v>28</v>
      </c>
      <c r="J129" s="7"/>
      <c r="K129" s="7"/>
      <c r="L129" s="7"/>
      <c r="M129" s="7"/>
      <c r="N129" s="9" t="s">
        <v>32</v>
      </c>
      <c r="O129" s="9" t="s">
        <v>141</v>
      </c>
      <c r="P129" s="9" t="s">
        <v>34</v>
      </c>
      <c r="Q129" s="10" t="str">
        <f>IF(IDMaster[[#This Row],[Consumption]]="Consumption",IDMaster[[#This Row],[Consumption]],IDMaster[[#This Row],[Basis]])</f>
        <v>Revenue</v>
      </c>
      <c r="R129" s="7" t="str">
        <f>IDMaster[[#This Row],[Supported Group]]&amp;"."&amp;IDMaster[[#This Row],[Basis]]</f>
        <v>Other.Revenue</v>
      </c>
      <c r="S129" s="11">
        <v>0.42185161428265983</v>
      </c>
      <c r="T129" s="12">
        <v>0.57814838571734017</v>
      </c>
      <c r="U129" s="12">
        <v>0</v>
      </c>
      <c r="V129" s="12">
        <v>0</v>
      </c>
      <c r="W129" s="12">
        <v>0</v>
      </c>
    </row>
    <row r="130" spans="1:23" x14ac:dyDescent="0.35">
      <c r="A130" s="7" t="s">
        <v>23</v>
      </c>
      <c r="B130" s="7" t="s">
        <v>421</v>
      </c>
      <c r="C130" s="7" t="s">
        <v>181</v>
      </c>
      <c r="D130" s="8">
        <v>260532</v>
      </c>
      <c r="E130" s="7" t="s">
        <v>291</v>
      </c>
      <c r="F130" s="7" t="s">
        <v>422</v>
      </c>
      <c r="G130" s="7" t="s">
        <v>48</v>
      </c>
      <c r="H130" s="7" t="s">
        <v>49</v>
      </c>
      <c r="I130" s="7" t="s">
        <v>28</v>
      </c>
      <c r="J130" s="7" t="s">
        <v>40</v>
      </c>
      <c r="K130" s="7" t="s">
        <v>80</v>
      </c>
      <c r="L130" s="7" t="s">
        <v>42</v>
      </c>
      <c r="M130" s="7" t="s">
        <v>43</v>
      </c>
      <c r="N130" s="9" t="s">
        <v>32</v>
      </c>
      <c r="O130" s="9" t="s">
        <v>33</v>
      </c>
      <c r="P130" s="9" t="s">
        <v>34</v>
      </c>
      <c r="Q130" s="10" t="str">
        <f>IF(IDMaster[[#This Row],[Consumption]]="Consumption",IDMaster[[#This Row],[Consumption]],IDMaster[[#This Row],[Basis]])</f>
        <v>Revenue</v>
      </c>
      <c r="R130" s="7" t="str">
        <f>IDMaster[[#This Row],[Supported Group]]&amp;"."&amp;IDMaster[[#This Row],[Basis]]</f>
        <v>IT Tools.Revenue</v>
      </c>
      <c r="S130" s="11">
        <v>0.42185161428265983</v>
      </c>
      <c r="T130" s="12">
        <v>0.57814838571734017</v>
      </c>
      <c r="U130" s="12">
        <v>0</v>
      </c>
      <c r="V130" s="12">
        <v>0</v>
      </c>
      <c r="W130" s="12">
        <v>0</v>
      </c>
    </row>
    <row r="131" spans="1:23" x14ac:dyDescent="0.35">
      <c r="A131" s="7" t="s">
        <v>23</v>
      </c>
      <c r="B131" s="7" t="s">
        <v>423</v>
      </c>
      <c r="C131" s="7" t="s">
        <v>424</v>
      </c>
      <c r="D131" s="8">
        <v>253765</v>
      </c>
      <c r="E131" s="7"/>
      <c r="F131" s="7" t="s">
        <v>424</v>
      </c>
      <c r="G131" s="7"/>
      <c r="H131" s="7" t="s">
        <v>27</v>
      </c>
      <c r="I131" s="7" t="s">
        <v>28</v>
      </c>
      <c r="J131" s="7" t="s">
        <v>40</v>
      </c>
      <c r="K131" s="7" t="s">
        <v>80</v>
      </c>
      <c r="L131" s="7" t="s">
        <v>42</v>
      </c>
      <c r="M131" s="7"/>
      <c r="N131" s="9" t="s">
        <v>32</v>
      </c>
      <c r="O131" s="9" t="s">
        <v>141</v>
      </c>
      <c r="P131" s="9" t="s">
        <v>34</v>
      </c>
      <c r="Q131" s="10" t="str">
        <f>IF(IDMaster[[#This Row],[Consumption]]="Consumption",IDMaster[[#This Row],[Consumption]],IDMaster[[#This Row],[Basis]])</f>
        <v>Revenue</v>
      </c>
      <c r="R131" s="7" t="str">
        <f>IDMaster[[#This Row],[Supported Group]]&amp;"."&amp;IDMaster[[#This Row],[Basis]]</f>
        <v>Other.Revenue</v>
      </c>
      <c r="S131" s="11">
        <v>0.42185161428265983</v>
      </c>
      <c r="T131" s="12">
        <v>0.57814838571734017</v>
      </c>
      <c r="U131" s="12">
        <v>0</v>
      </c>
      <c r="V131" s="12">
        <v>0</v>
      </c>
      <c r="W131" s="12">
        <v>0</v>
      </c>
    </row>
    <row r="132" spans="1:23" x14ac:dyDescent="0.35">
      <c r="A132" s="7" t="s">
        <v>23</v>
      </c>
      <c r="B132" s="7" t="s">
        <v>425</v>
      </c>
      <c r="C132" s="7" t="s">
        <v>426</v>
      </c>
      <c r="D132" s="8"/>
      <c r="E132" s="7"/>
      <c r="F132" s="7" t="s">
        <v>427</v>
      </c>
      <c r="G132" s="7"/>
      <c r="H132" s="7" t="s">
        <v>27</v>
      </c>
      <c r="I132" s="7" t="s">
        <v>28</v>
      </c>
      <c r="J132" s="7" t="s">
        <v>40</v>
      </c>
      <c r="K132" s="7" t="s">
        <v>80</v>
      </c>
      <c r="L132" s="7" t="s">
        <v>42</v>
      </c>
      <c r="M132" s="7"/>
      <c r="N132" s="9" t="s">
        <v>32</v>
      </c>
      <c r="O132" s="9" t="s">
        <v>141</v>
      </c>
      <c r="P132" s="9" t="s">
        <v>34</v>
      </c>
      <c r="Q132" s="10" t="str">
        <f>IF(IDMaster[[#This Row],[Consumption]]="Consumption",IDMaster[[#This Row],[Consumption]],IDMaster[[#This Row],[Basis]])</f>
        <v>Revenue</v>
      </c>
      <c r="R132" s="7" t="str">
        <f>IDMaster[[#This Row],[Supported Group]]&amp;"."&amp;IDMaster[[#This Row],[Basis]]</f>
        <v>Other.Revenue</v>
      </c>
      <c r="S132" s="11">
        <v>0.42185161428265983</v>
      </c>
      <c r="T132" s="12">
        <v>0.57814838571734017</v>
      </c>
      <c r="U132" s="12">
        <v>0</v>
      </c>
      <c r="V132" s="12">
        <v>0</v>
      </c>
      <c r="W132" s="12">
        <v>0</v>
      </c>
    </row>
    <row r="133" spans="1:23" x14ac:dyDescent="0.35">
      <c r="A133" s="7" t="s">
        <v>23</v>
      </c>
      <c r="B133" s="7" t="s">
        <v>428</v>
      </c>
      <c r="C133" s="7" t="s">
        <v>429</v>
      </c>
      <c r="D133" s="8">
        <v>444227</v>
      </c>
      <c r="E133" s="7"/>
      <c r="F133" s="7" t="s">
        <v>430</v>
      </c>
      <c r="G133" s="7"/>
      <c r="H133" s="7" t="s">
        <v>27</v>
      </c>
      <c r="I133" s="7" t="s">
        <v>28</v>
      </c>
      <c r="J133" s="7" t="s">
        <v>40</v>
      </c>
      <c r="K133" s="7" t="s">
        <v>80</v>
      </c>
      <c r="L133" s="7" t="s">
        <v>42</v>
      </c>
      <c r="M133" s="7"/>
      <c r="N133" s="9" t="s">
        <v>32</v>
      </c>
      <c r="O133" s="9" t="s">
        <v>141</v>
      </c>
      <c r="P133" s="9" t="s">
        <v>34</v>
      </c>
      <c r="Q133" s="10" t="str">
        <f>IF(IDMaster[[#This Row],[Consumption]]="Consumption",IDMaster[[#This Row],[Consumption]],IDMaster[[#This Row],[Basis]])</f>
        <v>Revenue</v>
      </c>
      <c r="R133" s="7" t="str">
        <f>IDMaster[[#This Row],[Supported Group]]&amp;"."&amp;IDMaster[[#This Row],[Basis]]</f>
        <v>Other.Revenue</v>
      </c>
      <c r="S133" s="11">
        <v>0.42185161428265983</v>
      </c>
      <c r="T133" s="12">
        <v>0.57814838571734017</v>
      </c>
      <c r="U133" s="12">
        <v>0</v>
      </c>
      <c r="V133" s="12">
        <v>0</v>
      </c>
      <c r="W133" s="12">
        <v>0</v>
      </c>
    </row>
    <row r="134" spans="1:23" x14ac:dyDescent="0.35">
      <c r="A134" s="7" t="s">
        <v>23</v>
      </c>
      <c r="B134" s="7" t="s">
        <v>431</v>
      </c>
      <c r="C134" s="7" t="s">
        <v>432</v>
      </c>
      <c r="D134" s="8"/>
      <c r="E134" s="7"/>
      <c r="F134" s="7" t="s">
        <v>433</v>
      </c>
      <c r="G134" s="7"/>
      <c r="H134" s="7" t="s">
        <v>27</v>
      </c>
      <c r="I134" s="7" t="s">
        <v>28</v>
      </c>
      <c r="J134" s="7" t="s">
        <v>40</v>
      </c>
      <c r="K134" s="7" t="s">
        <v>80</v>
      </c>
      <c r="L134" s="7" t="s">
        <v>42</v>
      </c>
      <c r="M134" s="7"/>
      <c r="N134" s="9" t="s">
        <v>32</v>
      </c>
      <c r="O134" s="9" t="s">
        <v>141</v>
      </c>
      <c r="P134" s="9" t="s">
        <v>34</v>
      </c>
      <c r="Q134" s="10" t="str">
        <f>IF(IDMaster[[#This Row],[Consumption]]="Consumption",IDMaster[[#This Row],[Consumption]],IDMaster[[#This Row],[Basis]])</f>
        <v>Revenue</v>
      </c>
      <c r="R134" s="7" t="str">
        <f>IDMaster[[#This Row],[Supported Group]]&amp;"."&amp;IDMaster[[#This Row],[Basis]]</f>
        <v>Other.Revenue</v>
      </c>
      <c r="S134" s="11">
        <v>0.42185161428265983</v>
      </c>
      <c r="T134" s="12">
        <v>0.57814838571734017</v>
      </c>
      <c r="U134" s="12">
        <v>0</v>
      </c>
      <c r="V134" s="12">
        <v>0</v>
      </c>
      <c r="W134" s="12">
        <v>0</v>
      </c>
    </row>
    <row r="135" spans="1:23" x14ac:dyDescent="0.35">
      <c r="A135" s="7" t="s">
        <v>23</v>
      </c>
      <c r="B135" s="7" t="s">
        <v>434</v>
      </c>
      <c r="C135" s="7" t="s">
        <v>435</v>
      </c>
      <c r="D135" s="8">
        <v>317572</v>
      </c>
      <c r="E135" s="7"/>
      <c r="F135" s="7" t="s">
        <v>435</v>
      </c>
      <c r="G135" s="7"/>
      <c r="H135" s="7" t="s">
        <v>27</v>
      </c>
      <c r="I135" s="7" t="s">
        <v>28</v>
      </c>
      <c r="J135" s="7" t="s">
        <v>40</v>
      </c>
      <c r="K135" s="7" t="s">
        <v>80</v>
      </c>
      <c r="L135" s="7" t="s">
        <v>42</v>
      </c>
      <c r="M135" s="7"/>
      <c r="N135" s="9" t="s">
        <v>32</v>
      </c>
      <c r="O135" s="9" t="s">
        <v>141</v>
      </c>
      <c r="P135" s="9" t="s">
        <v>34</v>
      </c>
      <c r="Q135" s="10" t="str">
        <f>IF(IDMaster[[#This Row],[Consumption]]="Consumption",IDMaster[[#This Row],[Consumption]],IDMaster[[#This Row],[Basis]])</f>
        <v>Revenue</v>
      </c>
      <c r="R135" s="7" t="str">
        <f>IDMaster[[#This Row],[Supported Group]]&amp;"."&amp;IDMaster[[#This Row],[Basis]]</f>
        <v>Other.Revenue</v>
      </c>
      <c r="S135" s="11">
        <v>0.42185161428265983</v>
      </c>
      <c r="T135" s="12">
        <v>0.57814838571734017</v>
      </c>
      <c r="U135" s="12">
        <v>0</v>
      </c>
      <c r="V135" s="12">
        <v>0</v>
      </c>
      <c r="W135" s="12">
        <v>0</v>
      </c>
    </row>
    <row r="136" spans="1:23" x14ac:dyDescent="0.35">
      <c r="A136" s="7" t="s">
        <v>23</v>
      </c>
      <c r="B136" s="7" t="s">
        <v>436</v>
      </c>
      <c r="C136" s="7" t="s">
        <v>326</v>
      </c>
      <c r="D136" s="8">
        <v>178105</v>
      </c>
      <c r="E136" s="7" t="s">
        <v>46</v>
      </c>
      <c r="F136" s="7" t="s">
        <v>437</v>
      </c>
      <c r="G136" s="7" t="s">
        <v>48</v>
      </c>
      <c r="H136" s="7" t="s">
        <v>27</v>
      </c>
      <c r="I136" s="7" t="s">
        <v>28</v>
      </c>
      <c r="J136" s="7" t="s">
        <v>137</v>
      </c>
      <c r="K136" s="7" t="s">
        <v>63</v>
      </c>
      <c r="L136" s="7" t="s">
        <v>30</v>
      </c>
      <c r="M136" s="7" t="s">
        <v>438</v>
      </c>
      <c r="N136" s="9" t="s">
        <v>32</v>
      </c>
      <c r="O136" s="9" t="s">
        <v>51</v>
      </c>
      <c r="P136" s="9" t="s">
        <v>34</v>
      </c>
      <c r="Q136" s="10" t="str">
        <f>IF(IDMaster[[#This Row],[Consumption]]="Consumption",IDMaster[[#This Row],[Consumption]],IDMaster[[#This Row],[Basis]])</f>
        <v>Revenue</v>
      </c>
      <c r="R136" s="7" t="str">
        <f>IDMaster[[#This Row],[Supported Group]]&amp;"."&amp;IDMaster[[#This Row],[Basis]]</f>
        <v>IT Infrastructure.Revenue</v>
      </c>
      <c r="S136" s="11">
        <v>0.42185161428265983</v>
      </c>
      <c r="T136" s="12">
        <v>0.57814838571734017</v>
      </c>
      <c r="U136" s="12">
        <v>0</v>
      </c>
      <c r="V136" s="12">
        <v>0</v>
      </c>
      <c r="W136" s="12">
        <v>0</v>
      </c>
    </row>
    <row r="137" spans="1:23" x14ac:dyDescent="0.35">
      <c r="A137" s="23" t="s">
        <v>23</v>
      </c>
      <c r="B137" s="7" t="s">
        <v>439</v>
      </c>
      <c r="C137" s="7" t="s">
        <v>440</v>
      </c>
      <c r="D137" s="8">
        <v>275386</v>
      </c>
      <c r="E137" s="7" t="s">
        <v>441</v>
      </c>
      <c r="F137" s="7" t="s">
        <v>440</v>
      </c>
      <c r="G137" s="7" t="s">
        <v>72</v>
      </c>
      <c r="H137" s="7" t="s">
        <v>39</v>
      </c>
      <c r="I137" s="7" t="s">
        <v>28</v>
      </c>
      <c r="J137" s="7" t="s">
        <v>40</v>
      </c>
      <c r="K137" s="7" t="s">
        <v>80</v>
      </c>
      <c r="L137" s="7" t="s">
        <v>42</v>
      </c>
      <c r="M137" s="7" t="s">
        <v>442</v>
      </c>
      <c r="N137" s="9" t="s">
        <v>32</v>
      </c>
      <c r="O137" s="9" t="s">
        <v>141</v>
      </c>
      <c r="P137" s="9" t="s">
        <v>34</v>
      </c>
      <c r="Q137" s="10" t="str">
        <f>IF(IDMaster[[#This Row],[Consumption]]="Consumption",IDMaster[[#This Row],[Consumption]],IDMaster[[#This Row],[Basis]])</f>
        <v>Revenue</v>
      </c>
      <c r="R137" s="7" t="str">
        <f>IDMaster[[#This Row],[Supported Group]]&amp;"."&amp;IDMaster[[#This Row],[Basis]]</f>
        <v>Other.Revenue</v>
      </c>
      <c r="S137" s="11">
        <v>0.42185161428265983</v>
      </c>
      <c r="T137" s="12">
        <v>0.57814838571734017</v>
      </c>
      <c r="U137" s="12">
        <v>0</v>
      </c>
      <c r="V137" s="12">
        <v>0</v>
      </c>
      <c r="W137" s="12">
        <v>0</v>
      </c>
    </row>
    <row r="138" spans="1:23" x14ac:dyDescent="0.35">
      <c r="A138" s="23" t="s">
        <v>23</v>
      </c>
      <c r="B138" s="7" t="s">
        <v>443</v>
      </c>
      <c r="C138" s="15" t="s">
        <v>121</v>
      </c>
      <c r="D138" s="8">
        <v>260532</v>
      </c>
      <c r="E138" s="7" t="s">
        <v>295</v>
      </c>
      <c r="F138" s="7" t="s">
        <v>444</v>
      </c>
      <c r="G138" s="7" t="s">
        <v>48</v>
      </c>
      <c r="H138" s="7" t="s">
        <v>39</v>
      </c>
      <c r="I138" s="7" t="s">
        <v>123</v>
      </c>
      <c r="J138" s="7" t="s">
        <v>124</v>
      </c>
      <c r="K138" s="7" t="s">
        <v>80</v>
      </c>
      <c r="L138" s="7" t="s">
        <v>42</v>
      </c>
      <c r="M138" s="7" t="s">
        <v>445</v>
      </c>
      <c r="N138" s="9" t="s">
        <v>446</v>
      </c>
      <c r="O138" s="9" t="s">
        <v>447</v>
      </c>
      <c r="P138" s="9" t="s">
        <v>34</v>
      </c>
      <c r="Q138" s="10" t="str">
        <f>IF(IDMaster[[#This Row],[Consumption]]="Consumption",IDMaster[[#This Row],[Consumption]],IDMaster[[#This Row],[Basis]])</f>
        <v>Acima Direct</v>
      </c>
      <c r="R138" s="7" t="str">
        <f>IDMaster[[#This Row],[Supported Group]]&amp;"."&amp;IDMaster[[#This Row],[Basis]]</f>
        <v>Acima.Acima Direct</v>
      </c>
      <c r="S138" s="11">
        <v>0</v>
      </c>
      <c r="T138" s="12">
        <v>1</v>
      </c>
      <c r="U138" s="12">
        <v>0</v>
      </c>
      <c r="V138" s="12">
        <v>0</v>
      </c>
      <c r="W138" s="12">
        <v>0</v>
      </c>
    </row>
    <row r="139" spans="1:23" x14ac:dyDescent="0.35">
      <c r="A139" s="22" t="s">
        <v>23</v>
      </c>
      <c r="B139" s="7" t="s">
        <v>448</v>
      </c>
      <c r="C139" s="7" t="s">
        <v>449</v>
      </c>
      <c r="D139" s="8" t="s">
        <v>450</v>
      </c>
      <c r="E139" s="7" t="s">
        <v>451</v>
      </c>
      <c r="F139" s="7" t="s">
        <v>449</v>
      </c>
      <c r="G139" s="7" t="s">
        <v>72</v>
      </c>
      <c r="H139" s="7" t="s">
        <v>27</v>
      </c>
      <c r="I139" s="7" t="s">
        <v>28</v>
      </c>
      <c r="J139" s="7" t="s">
        <v>40</v>
      </c>
      <c r="K139" s="7" t="s">
        <v>41</v>
      </c>
      <c r="L139" s="7" t="s">
        <v>42</v>
      </c>
      <c r="M139" s="7"/>
      <c r="N139" s="9" t="s">
        <v>32</v>
      </c>
      <c r="O139" s="9" t="s">
        <v>33</v>
      </c>
      <c r="P139" s="9" t="s">
        <v>34</v>
      </c>
      <c r="Q139" s="10" t="str">
        <f>IF(IDMaster[[#This Row],[Consumption]]="Consumption",IDMaster[[#This Row],[Consumption]],IDMaster[[#This Row],[Basis]])</f>
        <v>Revenue</v>
      </c>
      <c r="R139" s="7" t="str">
        <f>IDMaster[[#This Row],[Supported Group]]&amp;"."&amp;IDMaster[[#This Row],[Basis]]</f>
        <v>IT Tools.Revenue</v>
      </c>
      <c r="S139" s="11">
        <v>0.42185161428265983</v>
      </c>
      <c r="T139" s="12">
        <v>0.57814838571734017</v>
      </c>
      <c r="U139" s="12">
        <v>0</v>
      </c>
      <c r="V139" s="12">
        <v>0</v>
      </c>
      <c r="W139" s="12">
        <v>0</v>
      </c>
    </row>
    <row r="140" spans="1:23" x14ac:dyDescent="0.35">
      <c r="A140" s="22" t="s">
        <v>23</v>
      </c>
      <c r="B140" s="7" t="s">
        <v>452</v>
      </c>
      <c r="C140" s="7" t="s">
        <v>453</v>
      </c>
      <c r="D140" s="8" t="s">
        <v>450</v>
      </c>
      <c r="E140" s="7" t="s">
        <v>454</v>
      </c>
      <c r="F140" s="7" t="s">
        <v>453</v>
      </c>
      <c r="G140" s="7" t="s">
        <v>152</v>
      </c>
      <c r="H140" s="7" t="s">
        <v>27</v>
      </c>
      <c r="I140" s="7" t="s">
        <v>28</v>
      </c>
      <c r="J140" s="7" t="s">
        <v>40</v>
      </c>
      <c r="K140" s="7" t="s">
        <v>41</v>
      </c>
      <c r="L140" s="7" t="s">
        <v>42</v>
      </c>
      <c r="M140" s="7"/>
      <c r="N140" s="9" t="s">
        <v>32</v>
      </c>
      <c r="O140" s="9" t="s">
        <v>33</v>
      </c>
      <c r="P140" s="9" t="s">
        <v>34</v>
      </c>
      <c r="Q140" s="10" t="str">
        <f>IF(IDMaster[[#This Row],[Consumption]]="Consumption",IDMaster[[#This Row],[Consumption]],IDMaster[[#This Row],[Basis]])</f>
        <v>Revenue</v>
      </c>
      <c r="R140" s="7" t="str">
        <f>IDMaster[[#This Row],[Supported Group]]&amp;"."&amp;IDMaster[[#This Row],[Basis]]</f>
        <v>IT Tools.Revenue</v>
      </c>
      <c r="S140" s="11">
        <v>0.42185161428265983</v>
      </c>
      <c r="T140" s="12">
        <v>0.57814838571734017</v>
      </c>
      <c r="U140" s="12">
        <v>0</v>
      </c>
      <c r="V140" s="12">
        <v>0</v>
      </c>
      <c r="W140" s="12">
        <v>0</v>
      </c>
    </row>
    <row r="141" spans="1:23" x14ac:dyDescent="0.35">
      <c r="A141" s="22" t="s">
        <v>23</v>
      </c>
      <c r="B141" s="7" t="s">
        <v>455</v>
      </c>
      <c r="C141" s="7" t="s">
        <v>456</v>
      </c>
      <c r="D141" s="8" t="s">
        <v>450</v>
      </c>
      <c r="E141" s="7" t="s">
        <v>454</v>
      </c>
      <c r="F141" s="7" t="s">
        <v>456</v>
      </c>
      <c r="G141" s="7" t="s">
        <v>152</v>
      </c>
      <c r="H141" s="7" t="s">
        <v>27</v>
      </c>
      <c r="I141" s="7" t="s">
        <v>28</v>
      </c>
      <c r="J141" s="7" t="s">
        <v>40</v>
      </c>
      <c r="K141" s="7" t="s">
        <v>41</v>
      </c>
      <c r="L141" s="7" t="s">
        <v>42</v>
      </c>
      <c r="M141" s="7"/>
      <c r="N141" s="9" t="s">
        <v>32</v>
      </c>
      <c r="O141" s="9" t="s">
        <v>33</v>
      </c>
      <c r="P141" s="9" t="s">
        <v>34</v>
      </c>
      <c r="Q141" s="10" t="str">
        <f>IF(IDMaster[[#This Row],[Consumption]]="Consumption",IDMaster[[#This Row],[Consumption]],IDMaster[[#This Row],[Basis]])</f>
        <v>Revenue</v>
      </c>
      <c r="R141" s="7" t="str">
        <f>IDMaster[[#This Row],[Supported Group]]&amp;"."&amp;IDMaster[[#This Row],[Basis]]</f>
        <v>IT Tools.Revenue</v>
      </c>
      <c r="S141" s="11">
        <v>0.42185161428265983</v>
      </c>
      <c r="T141" s="12">
        <v>0.57814838571734017</v>
      </c>
      <c r="U141" s="12">
        <v>0</v>
      </c>
      <c r="V141" s="12">
        <v>0</v>
      </c>
      <c r="W141" s="12">
        <v>0</v>
      </c>
    </row>
    <row r="142" spans="1:23" x14ac:dyDescent="0.35">
      <c r="A142" s="22" t="s">
        <v>23</v>
      </c>
      <c r="B142" s="7" t="s">
        <v>457</v>
      </c>
      <c r="C142" s="7" t="s">
        <v>458</v>
      </c>
      <c r="D142" s="8" t="s">
        <v>450</v>
      </c>
      <c r="E142" s="7" t="s">
        <v>454</v>
      </c>
      <c r="F142" s="7" t="s">
        <v>458</v>
      </c>
      <c r="G142" s="7" t="s">
        <v>152</v>
      </c>
      <c r="H142" s="7" t="s">
        <v>27</v>
      </c>
      <c r="I142" s="7" t="s">
        <v>28</v>
      </c>
      <c r="J142" s="7" t="s">
        <v>40</v>
      </c>
      <c r="K142" s="7" t="s">
        <v>41</v>
      </c>
      <c r="L142" s="7" t="s">
        <v>42</v>
      </c>
      <c r="M142" s="7"/>
      <c r="N142" s="9" t="s">
        <v>32</v>
      </c>
      <c r="O142" s="9" t="s">
        <v>33</v>
      </c>
      <c r="P142" s="9" t="s">
        <v>34</v>
      </c>
      <c r="Q142" s="10" t="str">
        <f>IF(IDMaster[[#This Row],[Consumption]]="Consumption",IDMaster[[#This Row],[Consumption]],IDMaster[[#This Row],[Basis]])</f>
        <v>Revenue</v>
      </c>
      <c r="R142" s="7" t="str">
        <f>IDMaster[[#This Row],[Supported Group]]&amp;"."&amp;IDMaster[[#This Row],[Basis]]</f>
        <v>IT Tools.Revenue</v>
      </c>
      <c r="S142" s="11">
        <v>0.42185161428265983</v>
      </c>
      <c r="T142" s="12">
        <v>0.57814838571734017</v>
      </c>
      <c r="U142" s="12">
        <v>0</v>
      </c>
      <c r="V142" s="12">
        <v>0</v>
      </c>
      <c r="W142" s="12">
        <v>0</v>
      </c>
    </row>
    <row r="143" spans="1:23" x14ac:dyDescent="0.35">
      <c r="A143" s="22" t="s">
        <v>23</v>
      </c>
      <c r="B143" s="7" t="s">
        <v>459</v>
      </c>
      <c r="C143" s="7" t="s">
        <v>460</v>
      </c>
      <c r="D143" s="8" t="s">
        <v>450</v>
      </c>
      <c r="E143" s="7" t="s">
        <v>451</v>
      </c>
      <c r="F143" s="7" t="s">
        <v>460</v>
      </c>
      <c r="G143" s="7" t="s">
        <v>72</v>
      </c>
      <c r="H143" s="7" t="s">
        <v>27</v>
      </c>
      <c r="I143" s="7" t="s">
        <v>28</v>
      </c>
      <c r="J143" s="7" t="s">
        <v>40</v>
      </c>
      <c r="K143" s="7" t="s">
        <v>41</v>
      </c>
      <c r="L143" s="7" t="s">
        <v>42</v>
      </c>
      <c r="M143" s="7"/>
      <c r="N143" s="9" t="s">
        <v>32</v>
      </c>
      <c r="O143" s="9" t="s">
        <v>33</v>
      </c>
      <c r="P143" s="9" t="s">
        <v>34</v>
      </c>
      <c r="Q143" s="10" t="str">
        <f>IF(IDMaster[[#This Row],[Consumption]]="Consumption",IDMaster[[#This Row],[Consumption]],IDMaster[[#This Row],[Basis]])</f>
        <v>Revenue</v>
      </c>
      <c r="R143" s="7" t="str">
        <f>IDMaster[[#This Row],[Supported Group]]&amp;"."&amp;IDMaster[[#This Row],[Basis]]</f>
        <v>IT Tools.Revenue</v>
      </c>
      <c r="S143" s="11">
        <v>0.42185161428265983</v>
      </c>
      <c r="T143" s="12">
        <v>0.57814838571734017</v>
      </c>
      <c r="U143" s="12">
        <v>0</v>
      </c>
      <c r="V143" s="12">
        <v>0</v>
      </c>
      <c r="W143" s="12">
        <v>0</v>
      </c>
    </row>
    <row r="144" spans="1:23" x14ac:dyDescent="0.35">
      <c r="A144" s="22" t="s">
        <v>23</v>
      </c>
      <c r="B144" s="7" t="s">
        <v>461</v>
      </c>
      <c r="C144" s="7" t="s">
        <v>462</v>
      </c>
      <c r="D144" s="8" t="s">
        <v>450</v>
      </c>
      <c r="E144" s="7" t="s">
        <v>451</v>
      </c>
      <c r="F144" s="7" t="s">
        <v>462</v>
      </c>
      <c r="G144" s="7" t="s">
        <v>72</v>
      </c>
      <c r="H144" s="7" t="s">
        <v>27</v>
      </c>
      <c r="I144" s="7" t="s">
        <v>28</v>
      </c>
      <c r="J144" s="7" t="s">
        <v>40</v>
      </c>
      <c r="K144" s="7" t="s">
        <v>41</v>
      </c>
      <c r="L144" s="7" t="s">
        <v>42</v>
      </c>
      <c r="M144" s="7"/>
      <c r="N144" s="9" t="s">
        <v>32</v>
      </c>
      <c r="O144" s="9" t="s">
        <v>33</v>
      </c>
      <c r="P144" s="9" t="s">
        <v>34</v>
      </c>
      <c r="Q144" s="10" t="str">
        <f>IF(IDMaster[[#This Row],[Consumption]]="Consumption",IDMaster[[#This Row],[Consumption]],IDMaster[[#This Row],[Basis]])</f>
        <v>Revenue</v>
      </c>
      <c r="R144" s="7" t="str">
        <f>IDMaster[[#This Row],[Supported Group]]&amp;"."&amp;IDMaster[[#This Row],[Basis]]</f>
        <v>IT Tools.Revenue</v>
      </c>
      <c r="S144" s="11">
        <v>0.42185161428265983</v>
      </c>
      <c r="T144" s="12">
        <v>0.57814838571734017</v>
      </c>
      <c r="U144" s="12">
        <v>0</v>
      </c>
      <c r="V144" s="12">
        <v>0</v>
      </c>
      <c r="W144" s="12">
        <v>0</v>
      </c>
    </row>
    <row r="145" spans="1:23" x14ac:dyDescent="0.35">
      <c r="A145" s="22" t="s">
        <v>23</v>
      </c>
      <c r="B145" s="7" t="s">
        <v>463</v>
      </c>
      <c r="C145" s="7" t="s">
        <v>464</v>
      </c>
      <c r="D145" s="8" t="s">
        <v>450</v>
      </c>
      <c r="E145" s="7" t="s">
        <v>451</v>
      </c>
      <c r="F145" s="7" t="s">
        <v>464</v>
      </c>
      <c r="G145" s="7" t="s">
        <v>72</v>
      </c>
      <c r="H145" s="7" t="s">
        <v>27</v>
      </c>
      <c r="I145" s="7" t="s">
        <v>28</v>
      </c>
      <c r="J145" s="7" t="s">
        <v>40</v>
      </c>
      <c r="K145" s="7" t="s">
        <v>41</v>
      </c>
      <c r="L145" s="7" t="s">
        <v>42</v>
      </c>
      <c r="M145" s="7"/>
      <c r="N145" s="9" t="s">
        <v>32</v>
      </c>
      <c r="O145" s="9" t="s">
        <v>33</v>
      </c>
      <c r="P145" s="9" t="s">
        <v>34</v>
      </c>
      <c r="Q145" s="10" t="str">
        <f>IF(IDMaster[[#This Row],[Consumption]]="Consumption",IDMaster[[#This Row],[Consumption]],IDMaster[[#This Row],[Basis]])</f>
        <v>Revenue</v>
      </c>
      <c r="R145" s="7" t="str">
        <f>IDMaster[[#This Row],[Supported Group]]&amp;"."&amp;IDMaster[[#This Row],[Basis]]</f>
        <v>IT Tools.Revenue</v>
      </c>
      <c r="S145" s="11">
        <v>0.42185161428265983</v>
      </c>
      <c r="T145" s="12">
        <v>0.57814838571734017</v>
      </c>
      <c r="U145" s="12">
        <v>0</v>
      </c>
      <c r="V145" s="12">
        <v>0</v>
      </c>
      <c r="W145" s="12">
        <v>0</v>
      </c>
    </row>
    <row r="146" spans="1:23" x14ac:dyDescent="0.35">
      <c r="A146" s="22" t="s">
        <v>23</v>
      </c>
      <c r="B146" s="7" t="s">
        <v>465</v>
      </c>
      <c r="C146" s="7" t="s">
        <v>466</v>
      </c>
      <c r="D146" s="8" t="s">
        <v>450</v>
      </c>
      <c r="E146" s="7" t="s">
        <v>454</v>
      </c>
      <c r="F146" s="7" t="s">
        <v>466</v>
      </c>
      <c r="G146" s="7" t="s">
        <v>152</v>
      </c>
      <c r="H146" s="7" t="s">
        <v>27</v>
      </c>
      <c r="I146" s="7" t="s">
        <v>28</v>
      </c>
      <c r="J146" s="7" t="s">
        <v>40</v>
      </c>
      <c r="K146" s="7" t="s">
        <v>41</v>
      </c>
      <c r="L146" s="7" t="s">
        <v>42</v>
      </c>
      <c r="M146" s="7"/>
      <c r="N146" s="9" t="s">
        <v>32</v>
      </c>
      <c r="O146" s="9" t="s">
        <v>33</v>
      </c>
      <c r="P146" s="9" t="s">
        <v>34</v>
      </c>
      <c r="Q146" s="10" t="str">
        <f>IF(IDMaster[[#This Row],[Consumption]]="Consumption",IDMaster[[#This Row],[Consumption]],IDMaster[[#This Row],[Basis]])</f>
        <v>Revenue</v>
      </c>
      <c r="R146" s="7" t="str">
        <f>IDMaster[[#This Row],[Supported Group]]&amp;"."&amp;IDMaster[[#This Row],[Basis]]</f>
        <v>IT Tools.Revenue</v>
      </c>
      <c r="S146" s="11">
        <v>0.42185161428265983</v>
      </c>
      <c r="T146" s="12">
        <v>0.57814838571734017</v>
      </c>
      <c r="U146" s="12">
        <v>0</v>
      </c>
      <c r="V146" s="12">
        <v>0</v>
      </c>
      <c r="W146" s="12">
        <v>0</v>
      </c>
    </row>
    <row r="147" spans="1:23" x14ac:dyDescent="0.35">
      <c r="A147" s="22" t="s">
        <v>23</v>
      </c>
      <c r="B147" s="7" t="s">
        <v>467</v>
      </c>
      <c r="C147" s="7" t="s">
        <v>468</v>
      </c>
      <c r="D147" s="8" t="s">
        <v>450</v>
      </c>
      <c r="E147" s="7" t="s">
        <v>46</v>
      </c>
      <c r="F147" s="7" t="s">
        <v>468</v>
      </c>
      <c r="G147" s="7" t="s">
        <v>48</v>
      </c>
      <c r="H147" s="7" t="s">
        <v>27</v>
      </c>
      <c r="I147" s="7" t="s">
        <v>28</v>
      </c>
      <c r="J147" s="7" t="s">
        <v>40</v>
      </c>
      <c r="K147" s="7" t="s">
        <v>41</v>
      </c>
      <c r="L147" s="7" t="s">
        <v>42</v>
      </c>
      <c r="M147" s="7"/>
      <c r="N147" s="9" t="s">
        <v>32</v>
      </c>
      <c r="O147" s="9" t="s">
        <v>33</v>
      </c>
      <c r="P147" s="9" t="s">
        <v>34</v>
      </c>
      <c r="Q147" s="10" t="str">
        <f>IF(IDMaster[[#This Row],[Consumption]]="Consumption",IDMaster[[#This Row],[Consumption]],IDMaster[[#This Row],[Basis]])</f>
        <v>Revenue</v>
      </c>
      <c r="R147" s="7" t="str">
        <f>IDMaster[[#This Row],[Supported Group]]&amp;"."&amp;IDMaster[[#This Row],[Basis]]</f>
        <v>IT Tools.Revenue</v>
      </c>
      <c r="S147" s="11">
        <v>0.42185161428265983</v>
      </c>
      <c r="T147" s="12">
        <v>0.57814838571734017</v>
      </c>
      <c r="U147" s="12">
        <v>0</v>
      </c>
      <c r="V147" s="12">
        <v>0</v>
      </c>
      <c r="W147" s="12">
        <v>0</v>
      </c>
    </row>
    <row r="148" spans="1:23" x14ac:dyDescent="0.35">
      <c r="A148" s="22" t="s">
        <v>23</v>
      </c>
      <c r="B148" s="7" t="s">
        <v>469</v>
      </c>
      <c r="C148" s="7" t="s">
        <v>470</v>
      </c>
      <c r="D148" s="8" t="s">
        <v>450</v>
      </c>
      <c r="E148" s="7" t="s">
        <v>454</v>
      </c>
      <c r="F148" s="7" t="s">
        <v>470</v>
      </c>
      <c r="G148" s="7" t="s">
        <v>152</v>
      </c>
      <c r="H148" s="7" t="s">
        <v>27</v>
      </c>
      <c r="I148" s="7" t="s">
        <v>28</v>
      </c>
      <c r="J148" s="7" t="s">
        <v>40</v>
      </c>
      <c r="K148" s="7" t="s">
        <v>41</v>
      </c>
      <c r="L148" s="7" t="s">
        <v>42</v>
      </c>
      <c r="M148" s="7"/>
      <c r="N148" s="9" t="s">
        <v>32</v>
      </c>
      <c r="O148" s="9" t="s">
        <v>33</v>
      </c>
      <c r="P148" s="9" t="s">
        <v>34</v>
      </c>
      <c r="Q148" s="10" t="str">
        <f>IF(IDMaster[[#This Row],[Consumption]]="Consumption",IDMaster[[#This Row],[Consumption]],IDMaster[[#This Row],[Basis]])</f>
        <v>Revenue</v>
      </c>
      <c r="R148" s="7" t="str">
        <f>IDMaster[[#This Row],[Supported Group]]&amp;"."&amp;IDMaster[[#This Row],[Basis]]</f>
        <v>IT Tools.Revenue</v>
      </c>
      <c r="S148" s="11">
        <v>0.42185161428265983</v>
      </c>
      <c r="T148" s="12">
        <v>0.57814838571734017</v>
      </c>
      <c r="U148" s="12">
        <v>0</v>
      </c>
      <c r="V148" s="12">
        <v>0</v>
      </c>
      <c r="W148" s="12">
        <v>0</v>
      </c>
    </row>
    <row r="149" spans="1:23" x14ac:dyDescent="0.35">
      <c r="A149" s="22" t="s">
        <v>23</v>
      </c>
      <c r="B149" s="7" t="s">
        <v>471</v>
      </c>
      <c r="C149" s="7" t="s">
        <v>472</v>
      </c>
      <c r="D149" s="8" t="s">
        <v>450</v>
      </c>
      <c r="E149" s="7" t="s">
        <v>451</v>
      </c>
      <c r="F149" s="7" t="s">
        <v>472</v>
      </c>
      <c r="G149" s="7" t="s">
        <v>72</v>
      </c>
      <c r="H149" s="7" t="s">
        <v>27</v>
      </c>
      <c r="I149" s="7" t="s">
        <v>28</v>
      </c>
      <c r="J149" s="7" t="s">
        <v>40</v>
      </c>
      <c r="K149" s="7" t="s">
        <v>41</v>
      </c>
      <c r="L149" s="7" t="s">
        <v>42</v>
      </c>
      <c r="M149" s="7"/>
      <c r="N149" s="9" t="s">
        <v>32</v>
      </c>
      <c r="O149" s="9" t="s">
        <v>33</v>
      </c>
      <c r="P149" s="9" t="s">
        <v>34</v>
      </c>
      <c r="Q149" s="10" t="str">
        <f>IF(IDMaster[[#This Row],[Consumption]]="Consumption",IDMaster[[#This Row],[Consumption]],IDMaster[[#This Row],[Basis]])</f>
        <v>Revenue</v>
      </c>
      <c r="R149" s="7" t="str">
        <f>IDMaster[[#This Row],[Supported Group]]&amp;"."&amp;IDMaster[[#This Row],[Basis]]</f>
        <v>IT Tools.Revenue</v>
      </c>
      <c r="S149" s="11">
        <v>0.42185161428265983</v>
      </c>
      <c r="T149" s="12">
        <v>0.57814838571734017</v>
      </c>
      <c r="U149" s="12">
        <v>0</v>
      </c>
      <c r="V149" s="12">
        <v>0</v>
      </c>
      <c r="W149" s="12">
        <v>0</v>
      </c>
    </row>
    <row r="150" spans="1:23" x14ac:dyDescent="0.35">
      <c r="A150" s="22" t="s">
        <v>23</v>
      </c>
      <c r="B150" s="7" t="s">
        <v>473</v>
      </c>
      <c r="C150" s="7" t="s">
        <v>474</v>
      </c>
      <c r="D150" s="8" t="s">
        <v>450</v>
      </c>
      <c r="E150" s="7" t="s">
        <v>454</v>
      </c>
      <c r="F150" s="7" t="s">
        <v>474</v>
      </c>
      <c r="G150" s="7" t="s">
        <v>152</v>
      </c>
      <c r="H150" s="7" t="s">
        <v>27</v>
      </c>
      <c r="I150" s="7" t="s">
        <v>28</v>
      </c>
      <c r="J150" s="7" t="s">
        <v>40</v>
      </c>
      <c r="K150" s="7" t="s">
        <v>41</v>
      </c>
      <c r="L150" s="7" t="s">
        <v>42</v>
      </c>
      <c r="M150" s="7"/>
      <c r="N150" s="9" t="s">
        <v>32</v>
      </c>
      <c r="O150" s="9" t="s">
        <v>33</v>
      </c>
      <c r="P150" s="9" t="s">
        <v>34</v>
      </c>
      <c r="Q150" s="10" t="str">
        <f>IF(IDMaster[[#This Row],[Consumption]]="Consumption",IDMaster[[#This Row],[Consumption]],IDMaster[[#This Row],[Basis]])</f>
        <v>Revenue</v>
      </c>
      <c r="R150" s="7" t="str">
        <f>IDMaster[[#This Row],[Supported Group]]&amp;"."&amp;IDMaster[[#This Row],[Basis]]</f>
        <v>IT Tools.Revenue</v>
      </c>
      <c r="S150" s="11">
        <v>0.42185161428265983</v>
      </c>
      <c r="T150" s="12">
        <v>0.57814838571734017</v>
      </c>
      <c r="U150" s="12">
        <v>0</v>
      </c>
      <c r="V150" s="12">
        <v>0</v>
      </c>
      <c r="W150" s="12">
        <v>0</v>
      </c>
    </row>
    <row r="151" spans="1:23" x14ac:dyDescent="0.35">
      <c r="A151" s="22" t="s">
        <v>23</v>
      </c>
      <c r="B151" s="7" t="s">
        <v>475</v>
      </c>
      <c r="C151" s="7" t="s">
        <v>476</v>
      </c>
      <c r="D151" s="8" t="s">
        <v>450</v>
      </c>
      <c r="E151" s="7" t="s">
        <v>451</v>
      </c>
      <c r="F151" s="7" t="s">
        <v>476</v>
      </c>
      <c r="G151" s="7" t="s">
        <v>72</v>
      </c>
      <c r="H151" s="7" t="s">
        <v>27</v>
      </c>
      <c r="I151" s="7" t="s">
        <v>28</v>
      </c>
      <c r="J151" s="7" t="s">
        <v>40</v>
      </c>
      <c r="K151" s="7" t="s">
        <v>41</v>
      </c>
      <c r="L151" s="7" t="s">
        <v>42</v>
      </c>
      <c r="M151" s="7"/>
      <c r="N151" s="9" t="s">
        <v>32</v>
      </c>
      <c r="O151" s="9" t="s">
        <v>33</v>
      </c>
      <c r="P151" s="9" t="s">
        <v>34</v>
      </c>
      <c r="Q151" s="10" t="str">
        <f>IF(IDMaster[[#This Row],[Consumption]]="Consumption",IDMaster[[#This Row],[Consumption]],IDMaster[[#This Row],[Basis]])</f>
        <v>Revenue</v>
      </c>
      <c r="R151" s="7" t="str">
        <f>IDMaster[[#This Row],[Supported Group]]&amp;"."&amp;IDMaster[[#This Row],[Basis]]</f>
        <v>IT Tools.Revenue</v>
      </c>
      <c r="S151" s="11">
        <v>0.42185161428265983</v>
      </c>
      <c r="T151" s="12">
        <v>0.57814838571734017</v>
      </c>
      <c r="U151" s="12">
        <v>0</v>
      </c>
      <c r="V151" s="12">
        <v>0</v>
      </c>
      <c r="W151" s="12">
        <v>0</v>
      </c>
    </row>
    <row r="152" spans="1:23" x14ac:dyDescent="0.35">
      <c r="A152" s="22" t="s">
        <v>23</v>
      </c>
      <c r="B152" s="7" t="s">
        <v>477</v>
      </c>
      <c r="C152" s="7" t="s">
        <v>478</v>
      </c>
      <c r="D152" s="8" t="s">
        <v>450</v>
      </c>
      <c r="E152" s="7" t="s">
        <v>479</v>
      </c>
      <c r="F152" s="7" t="s">
        <v>480</v>
      </c>
      <c r="G152" s="7" t="s">
        <v>48</v>
      </c>
      <c r="H152" s="7" t="s">
        <v>27</v>
      </c>
      <c r="I152" s="7" t="s">
        <v>28</v>
      </c>
      <c r="J152" s="7" t="s">
        <v>40</v>
      </c>
      <c r="K152" s="7" t="s">
        <v>41</v>
      </c>
      <c r="L152" s="7" t="s">
        <v>42</v>
      </c>
      <c r="M152" s="7"/>
      <c r="N152" s="9" t="s">
        <v>32</v>
      </c>
      <c r="O152" s="9" t="s">
        <v>33</v>
      </c>
      <c r="P152" s="9" t="s">
        <v>34</v>
      </c>
      <c r="Q152" s="10" t="str">
        <f>IF(IDMaster[[#This Row],[Consumption]]="Consumption",IDMaster[[#This Row],[Consumption]],IDMaster[[#This Row],[Basis]])</f>
        <v>Revenue</v>
      </c>
      <c r="R152" s="7" t="str">
        <f>IDMaster[[#This Row],[Supported Group]]&amp;"."&amp;IDMaster[[#This Row],[Basis]]</f>
        <v>IT Tools.Revenue</v>
      </c>
      <c r="S152" s="11">
        <v>0.42185161428265983</v>
      </c>
      <c r="T152" s="12">
        <v>0.57814838571734017</v>
      </c>
      <c r="U152" s="12">
        <v>0</v>
      </c>
      <c r="V152" s="12">
        <v>0</v>
      </c>
      <c r="W152" s="12">
        <v>0</v>
      </c>
    </row>
    <row r="153" spans="1:23" x14ac:dyDescent="0.35">
      <c r="A153" s="22" t="s">
        <v>23</v>
      </c>
      <c r="B153" s="7" t="s">
        <v>481</v>
      </c>
      <c r="C153" s="7" t="s">
        <v>482</v>
      </c>
      <c r="D153" s="8" t="s">
        <v>450</v>
      </c>
      <c r="E153" s="7" t="s">
        <v>451</v>
      </c>
      <c r="F153" s="7" t="s">
        <v>483</v>
      </c>
      <c r="G153" s="7" t="s">
        <v>72</v>
      </c>
      <c r="H153" s="7" t="s">
        <v>27</v>
      </c>
      <c r="I153" s="7" t="s">
        <v>28</v>
      </c>
      <c r="J153" s="7" t="s">
        <v>40</v>
      </c>
      <c r="K153" s="7" t="s">
        <v>41</v>
      </c>
      <c r="L153" s="7" t="s">
        <v>42</v>
      </c>
      <c r="M153" s="7"/>
      <c r="N153" s="9" t="s">
        <v>32</v>
      </c>
      <c r="O153" s="9" t="s">
        <v>33</v>
      </c>
      <c r="P153" s="9" t="s">
        <v>34</v>
      </c>
      <c r="Q153" s="10" t="str">
        <f>IF(IDMaster[[#This Row],[Consumption]]="Consumption",IDMaster[[#This Row],[Consumption]],IDMaster[[#This Row],[Basis]])</f>
        <v>Revenue</v>
      </c>
      <c r="R153" s="7" t="str">
        <f>IDMaster[[#This Row],[Supported Group]]&amp;"."&amp;IDMaster[[#This Row],[Basis]]</f>
        <v>IT Tools.Revenue</v>
      </c>
      <c r="S153" s="11">
        <v>0.42185161428265983</v>
      </c>
      <c r="T153" s="12">
        <v>0.57814838571734017</v>
      </c>
      <c r="U153" s="12">
        <v>0</v>
      </c>
      <c r="V153" s="12">
        <v>0</v>
      </c>
      <c r="W153" s="12">
        <v>0</v>
      </c>
    </row>
    <row r="154" spans="1:23" x14ac:dyDescent="0.35">
      <c r="A154" s="22" t="s">
        <v>23</v>
      </c>
      <c r="B154" s="7" t="s">
        <v>484</v>
      </c>
      <c r="C154" s="7" t="s">
        <v>485</v>
      </c>
      <c r="D154" s="8" t="s">
        <v>450</v>
      </c>
      <c r="E154" s="7" t="s">
        <v>46</v>
      </c>
      <c r="F154" s="7" t="s">
        <v>485</v>
      </c>
      <c r="G154" s="7" t="s">
        <v>48</v>
      </c>
      <c r="H154" s="7" t="s">
        <v>27</v>
      </c>
      <c r="I154" s="7" t="s">
        <v>28</v>
      </c>
      <c r="J154" s="7" t="s">
        <v>40</v>
      </c>
      <c r="K154" s="7" t="s">
        <v>41</v>
      </c>
      <c r="L154" s="7" t="s">
        <v>42</v>
      </c>
      <c r="M154" s="7"/>
      <c r="N154" s="9" t="s">
        <v>32</v>
      </c>
      <c r="O154" s="9" t="s">
        <v>33</v>
      </c>
      <c r="P154" s="9" t="s">
        <v>34</v>
      </c>
      <c r="Q154" s="10" t="str">
        <f>IF(IDMaster[[#This Row],[Consumption]]="Consumption",IDMaster[[#This Row],[Consumption]],IDMaster[[#This Row],[Basis]])</f>
        <v>Revenue</v>
      </c>
      <c r="R154" s="7" t="str">
        <f>IDMaster[[#This Row],[Supported Group]]&amp;"."&amp;IDMaster[[#This Row],[Basis]]</f>
        <v>IT Tools.Revenue</v>
      </c>
      <c r="S154" s="11">
        <v>0.42185161428265983</v>
      </c>
      <c r="T154" s="12">
        <v>0.57814838571734017</v>
      </c>
      <c r="U154" s="12">
        <v>0</v>
      </c>
      <c r="V154" s="12">
        <v>0</v>
      </c>
      <c r="W154" s="12">
        <v>0</v>
      </c>
    </row>
    <row r="155" spans="1:23" x14ac:dyDescent="0.35">
      <c r="A155" s="16" t="s">
        <v>23</v>
      </c>
      <c r="B155" s="7" t="s">
        <v>486</v>
      </c>
      <c r="C155" s="7" t="s">
        <v>487</v>
      </c>
      <c r="D155" s="8">
        <v>450957</v>
      </c>
      <c r="E155" s="7" t="s">
        <v>53</v>
      </c>
      <c r="F155" s="7" t="s">
        <v>488</v>
      </c>
      <c r="G155" s="7" t="s">
        <v>72</v>
      </c>
      <c r="H155" s="7" t="s">
        <v>489</v>
      </c>
      <c r="I155" s="7" t="s">
        <v>28</v>
      </c>
      <c r="J155" s="7" t="s">
        <v>40</v>
      </c>
      <c r="K155" s="7" t="s">
        <v>41</v>
      </c>
      <c r="L155" s="7" t="s">
        <v>42</v>
      </c>
      <c r="M155" s="7" t="s">
        <v>490</v>
      </c>
      <c r="N155" s="9" t="s">
        <v>32</v>
      </c>
      <c r="O155" s="9" t="s">
        <v>447</v>
      </c>
      <c r="P155" s="9" t="s">
        <v>34</v>
      </c>
      <c r="Q155" s="10" t="str">
        <f>IF(IDMaster[[#This Row],[Consumption]]="Consumption",IDMaster[[#This Row],[Consumption]],IDMaster[[#This Row],[Basis]])</f>
        <v>Revenue</v>
      </c>
      <c r="R155" s="7" t="str">
        <f>IDMaster[[#This Row],[Supported Group]]&amp;"."&amp;IDMaster[[#This Row],[Basis]]</f>
        <v>Acima.Revenue</v>
      </c>
      <c r="S155" s="11">
        <v>0.42185161428265983</v>
      </c>
      <c r="T155" s="12">
        <v>0.57814838571734017</v>
      </c>
      <c r="U155" s="12">
        <v>0</v>
      </c>
      <c r="V155" s="12">
        <v>0</v>
      </c>
      <c r="W155" s="12">
        <v>0</v>
      </c>
    </row>
    <row r="156" spans="1:23" x14ac:dyDescent="0.35">
      <c r="A156" s="16" t="s">
        <v>23</v>
      </c>
      <c r="B156" s="7" t="s">
        <v>491</v>
      </c>
      <c r="C156" s="7" t="s">
        <v>492</v>
      </c>
      <c r="D156" s="8">
        <v>451618</v>
      </c>
      <c r="E156" s="7" t="s">
        <v>53</v>
      </c>
      <c r="F156" s="7" t="s">
        <v>493</v>
      </c>
      <c r="G156" s="7" t="s">
        <v>72</v>
      </c>
      <c r="H156" s="7" t="s">
        <v>489</v>
      </c>
      <c r="I156" s="7" t="s">
        <v>28</v>
      </c>
      <c r="J156" s="7" t="s">
        <v>40</v>
      </c>
      <c r="K156" s="7" t="s">
        <v>41</v>
      </c>
      <c r="L156" s="7" t="s">
        <v>42</v>
      </c>
      <c r="M156" s="7" t="s">
        <v>494</v>
      </c>
      <c r="N156" s="9" t="s">
        <v>32</v>
      </c>
      <c r="O156" s="9" t="s">
        <v>447</v>
      </c>
      <c r="P156" s="9" t="s">
        <v>34</v>
      </c>
      <c r="Q156" s="10" t="str">
        <f>IF(IDMaster[[#This Row],[Consumption]]="Consumption",IDMaster[[#This Row],[Consumption]],IDMaster[[#This Row],[Basis]])</f>
        <v>Revenue</v>
      </c>
      <c r="R156" s="7" t="str">
        <f>IDMaster[[#This Row],[Supported Group]]&amp;"."&amp;IDMaster[[#This Row],[Basis]]</f>
        <v>Acima.Revenue</v>
      </c>
      <c r="S156" s="11">
        <v>0.42185161428265983</v>
      </c>
      <c r="T156" s="12">
        <v>0.57814838571734017</v>
      </c>
      <c r="U156" s="12">
        <v>0</v>
      </c>
      <c r="V156" s="12">
        <v>0</v>
      </c>
      <c r="W156" s="12">
        <v>0</v>
      </c>
    </row>
    <row r="157" spans="1:23" x14ac:dyDescent="0.35">
      <c r="A157" s="7" t="s">
        <v>23</v>
      </c>
      <c r="B157" s="7" t="s">
        <v>495</v>
      </c>
      <c r="C157" s="7" t="s">
        <v>496</v>
      </c>
      <c r="D157" s="8" t="s">
        <v>450</v>
      </c>
      <c r="E157" s="7" t="s">
        <v>451</v>
      </c>
      <c r="F157" s="7" t="s">
        <v>497</v>
      </c>
      <c r="G157" s="7" t="s">
        <v>72</v>
      </c>
      <c r="H157" s="7" t="s">
        <v>27</v>
      </c>
      <c r="I157" s="7" t="s">
        <v>28</v>
      </c>
      <c r="J157" s="7" t="s">
        <v>40</v>
      </c>
      <c r="K157" s="7" t="s">
        <v>41</v>
      </c>
      <c r="L157" s="7" t="s">
        <v>42</v>
      </c>
      <c r="M157" s="7" t="s">
        <v>43</v>
      </c>
      <c r="N157" s="9" t="s">
        <v>32</v>
      </c>
      <c r="O157" s="9" t="s">
        <v>33</v>
      </c>
      <c r="P157" s="9" t="s">
        <v>34</v>
      </c>
      <c r="Q157" s="10" t="str">
        <f>IF(IDMaster[[#This Row],[Consumption]]="Consumption",IDMaster[[#This Row],[Consumption]],IDMaster[[#This Row],[Basis]])</f>
        <v>Revenue</v>
      </c>
      <c r="R157" s="7" t="str">
        <f>IDMaster[[#This Row],[Supported Group]]&amp;"."&amp;IDMaster[[#This Row],[Basis]]</f>
        <v>IT Tools.Revenue</v>
      </c>
      <c r="S157" s="11">
        <v>0.42185161428265983</v>
      </c>
      <c r="T157" s="12">
        <v>0.57814838571734017</v>
      </c>
      <c r="U157" s="12">
        <v>0</v>
      </c>
      <c r="V157" s="12">
        <v>0</v>
      </c>
      <c r="W157" s="12">
        <v>0</v>
      </c>
    </row>
    <row r="158" spans="1:23" x14ac:dyDescent="0.35">
      <c r="A158" s="7" t="s">
        <v>23</v>
      </c>
      <c r="B158" s="7" t="s">
        <v>498</v>
      </c>
      <c r="C158" s="7" t="s">
        <v>499</v>
      </c>
      <c r="D158" s="8" t="s">
        <v>450</v>
      </c>
      <c r="E158" s="7" t="s">
        <v>451</v>
      </c>
      <c r="F158" s="7" t="s">
        <v>500</v>
      </c>
      <c r="G158" s="7" t="s">
        <v>72</v>
      </c>
      <c r="H158" s="7" t="s">
        <v>27</v>
      </c>
      <c r="I158" s="7" t="s">
        <v>28</v>
      </c>
      <c r="J158" s="7" t="s">
        <v>40</v>
      </c>
      <c r="K158" s="7" t="s">
        <v>41</v>
      </c>
      <c r="L158" s="7" t="s">
        <v>42</v>
      </c>
      <c r="M158" s="7" t="s">
        <v>43</v>
      </c>
      <c r="N158" s="9" t="s">
        <v>32</v>
      </c>
      <c r="O158" s="9" t="s">
        <v>33</v>
      </c>
      <c r="P158" s="9" t="s">
        <v>34</v>
      </c>
      <c r="Q158" s="10" t="str">
        <f>IF(IDMaster[[#This Row],[Consumption]]="Consumption",IDMaster[[#This Row],[Consumption]],IDMaster[[#This Row],[Basis]])</f>
        <v>Revenue</v>
      </c>
      <c r="R158" s="7" t="str">
        <f>IDMaster[[#This Row],[Supported Group]]&amp;"."&amp;IDMaster[[#This Row],[Basis]]</f>
        <v>IT Tools.Revenue</v>
      </c>
      <c r="S158" s="11">
        <v>0.42185161428265983</v>
      </c>
      <c r="T158" s="12">
        <v>0.57814838571734017</v>
      </c>
      <c r="U158" s="12">
        <v>0</v>
      </c>
      <c r="V158" s="12">
        <v>0</v>
      </c>
      <c r="W158" s="12">
        <v>0</v>
      </c>
    </row>
    <row r="159" spans="1:23" x14ac:dyDescent="0.35">
      <c r="A159" s="7" t="s">
        <v>23</v>
      </c>
      <c r="B159" s="7" t="s">
        <v>501</v>
      </c>
      <c r="C159" s="7" t="s">
        <v>502</v>
      </c>
      <c r="D159" s="8" t="s">
        <v>450</v>
      </c>
      <c r="E159" s="7" t="s">
        <v>454</v>
      </c>
      <c r="F159" s="7" t="s">
        <v>503</v>
      </c>
      <c r="G159" s="7" t="s">
        <v>152</v>
      </c>
      <c r="H159" s="7" t="s">
        <v>27</v>
      </c>
      <c r="I159" s="7" t="s">
        <v>28</v>
      </c>
      <c r="J159" s="7" t="s">
        <v>40</v>
      </c>
      <c r="K159" s="7" t="s">
        <v>41</v>
      </c>
      <c r="L159" s="7" t="s">
        <v>42</v>
      </c>
      <c r="M159" s="7" t="s">
        <v>43</v>
      </c>
      <c r="N159" s="9" t="s">
        <v>32</v>
      </c>
      <c r="O159" s="9" t="s">
        <v>33</v>
      </c>
      <c r="P159" s="9" t="s">
        <v>34</v>
      </c>
      <c r="Q159" s="10" t="str">
        <f>IF(IDMaster[[#This Row],[Consumption]]="Consumption",IDMaster[[#This Row],[Consumption]],IDMaster[[#This Row],[Basis]])</f>
        <v>Revenue</v>
      </c>
      <c r="R159" s="7" t="str">
        <f>IDMaster[[#This Row],[Supported Group]]&amp;"."&amp;IDMaster[[#This Row],[Basis]]</f>
        <v>IT Tools.Revenue</v>
      </c>
      <c r="S159" s="11">
        <v>0.42185161428265983</v>
      </c>
      <c r="T159" s="12">
        <v>0.57814838571734017</v>
      </c>
      <c r="U159" s="12">
        <v>0</v>
      </c>
      <c r="V159" s="12">
        <v>0</v>
      </c>
      <c r="W159" s="12">
        <v>0</v>
      </c>
    </row>
    <row r="160" spans="1:23" x14ac:dyDescent="0.35">
      <c r="A160" s="7" t="s">
        <v>23</v>
      </c>
      <c r="B160" s="7" t="s">
        <v>504</v>
      </c>
      <c r="C160" s="7" t="s">
        <v>505</v>
      </c>
      <c r="D160" s="8">
        <v>290566</v>
      </c>
      <c r="E160" s="7" t="s">
        <v>506</v>
      </c>
      <c r="F160" s="7" t="s">
        <v>507</v>
      </c>
      <c r="G160" s="7" t="s">
        <v>72</v>
      </c>
      <c r="H160" s="7" t="s">
        <v>49</v>
      </c>
      <c r="I160" s="7" t="s">
        <v>28</v>
      </c>
      <c r="J160" s="7" t="s">
        <v>137</v>
      </c>
      <c r="K160" s="7" t="s">
        <v>508</v>
      </c>
      <c r="L160" s="7" t="s">
        <v>30</v>
      </c>
      <c r="M160" s="7"/>
      <c r="N160" s="9" t="s">
        <v>32</v>
      </c>
      <c r="O160" s="9" t="s">
        <v>141</v>
      </c>
      <c r="P160" s="9" t="s">
        <v>34</v>
      </c>
      <c r="Q160" s="10" t="str">
        <f>IF(IDMaster[[#This Row],[Consumption]]="Consumption",IDMaster[[#This Row],[Consumption]],IDMaster[[#This Row],[Basis]])</f>
        <v>Revenue</v>
      </c>
      <c r="R160" s="7" t="str">
        <f>IDMaster[[#This Row],[Supported Group]]&amp;"."&amp;IDMaster[[#This Row],[Basis]]</f>
        <v>Other.Revenue</v>
      </c>
      <c r="S160" s="11">
        <v>0.42185161428265983</v>
      </c>
      <c r="T160" s="12">
        <v>0.57814838571734017</v>
      </c>
      <c r="U160" s="12">
        <v>0</v>
      </c>
      <c r="V160" s="12">
        <v>0</v>
      </c>
      <c r="W160" s="12">
        <v>0</v>
      </c>
    </row>
    <row r="161" spans="1:23" x14ac:dyDescent="0.35">
      <c r="A161" s="7" t="s">
        <v>23</v>
      </c>
      <c r="B161" s="7" t="s">
        <v>509</v>
      </c>
      <c r="C161" s="7" t="s">
        <v>510</v>
      </c>
      <c r="D161" s="8">
        <v>383436</v>
      </c>
      <c r="E161" s="7" t="s">
        <v>312</v>
      </c>
      <c r="F161" s="7" t="s">
        <v>511</v>
      </c>
      <c r="G161" s="7" t="s">
        <v>48</v>
      </c>
      <c r="H161" s="7" t="s">
        <v>39</v>
      </c>
      <c r="I161" s="7" t="s">
        <v>123</v>
      </c>
      <c r="J161" s="7" t="s">
        <v>137</v>
      </c>
      <c r="K161" s="7" t="s">
        <v>29</v>
      </c>
      <c r="L161" s="7" t="s">
        <v>30</v>
      </c>
      <c r="M161" s="7"/>
      <c r="N161" s="9" t="s">
        <v>32</v>
      </c>
      <c r="O161" s="9" t="s">
        <v>141</v>
      </c>
      <c r="P161" s="9" t="s">
        <v>34</v>
      </c>
      <c r="Q161" s="10" t="str">
        <f>IF(IDMaster[[#This Row],[Consumption]]="Consumption",IDMaster[[#This Row],[Consumption]],IDMaster[[#This Row],[Basis]])</f>
        <v>Revenue</v>
      </c>
      <c r="R161" s="7" t="str">
        <f>IDMaster[[#This Row],[Supported Group]]&amp;"."&amp;IDMaster[[#This Row],[Basis]]</f>
        <v>Other.Revenue</v>
      </c>
      <c r="S161" s="11">
        <v>0.42185161428265983</v>
      </c>
      <c r="T161" s="12">
        <v>0.57814838571734017</v>
      </c>
      <c r="U161" s="12">
        <v>0</v>
      </c>
      <c r="V161" s="12">
        <v>0</v>
      </c>
      <c r="W161" s="12">
        <v>0</v>
      </c>
    </row>
    <row r="162" spans="1:23" x14ac:dyDescent="0.35">
      <c r="A162" s="7" t="s">
        <v>23</v>
      </c>
      <c r="B162" s="7" t="s">
        <v>512</v>
      </c>
      <c r="C162" s="15" t="s">
        <v>181</v>
      </c>
      <c r="D162" s="8">
        <v>260532</v>
      </c>
      <c r="E162" s="7" t="s">
        <v>295</v>
      </c>
      <c r="F162" s="7" t="s">
        <v>513</v>
      </c>
      <c r="G162" s="7" t="s">
        <v>48</v>
      </c>
      <c r="H162" s="7" t="s">
        <v>49</v>
      </c>
      <c r="I162" s="7" t="s">
        <v>28</v>
      </c>
      <c r="J162" s="7" t="s">
        <v>40</v>
      </c>
      <c r="K162" s="7" t="s">
        <v>80</v>
      </c>
      <c r="L162" s="7" t="s">
        <v>42</v>
      </c>
      <c r="M162" s="7" t="s">
        <v>43</v>
      </c>
      <c r="N162" s="9" t="s">
        <v>32</v>
      </c>
      <c r="O162" s="9" t="s">
        <v>67</v>
      </c>
      <c r="P162" s="9" t="s">
        <v>34</v>
      </c>
      <c r="Q162" s="10" t="str">
        <f>IF(IDMaster[[#This Row],[Consumption]]="Consumption",IDMaster[[#This Row],[Consumption]],IDMaster[[#This Row],[Basis]])</f>
        <v>Revenue</v>
      </c>
      <c r="R162" s="7" t="str">
        <f>IDMaster[[#This Row],[Supported Group]]&amp;"."&amp;IDMaster[[#This Row],[Basis]]</f>
        <v>IT Corporate.Revenue</v>
      </c>
      <c r="S162" s="11">
        <v>0.42185161428265983</v>
      </c>
      <c r="T162" s="12">
        <v>0.57814838571734017</v>
      </c>
      <c r="U162" s="12">
        <v>0</v>
      </c>
      <c r="V162" s="12">
        <v>0</v>
      </c>
      <c r="W162" s="12">
        <v>0</v>
      </c>
    </row>
    <row r="163" spans="1:23" x14ac:dyDescent="0.35">
      <c r="A163" s="7" t="s">
        <v>23</v>
      </c>
      <c r="B163" s="7" t="s">
        <v>514</v>
      </c>
      <c r="C163" s="7" t="s">
        <v>515</v>
      </c>
      <c r="D163" s="8">
        <v>369050</v>
      </c>
      <c r="E163" s="7" t="s">
        <v>95</v>
      </c>
      <c r="F163" s="7" t="s">
        <v>516</v>
      </c>
      <c r="G163" s="7" t="s">
        <v>97</v>
      </c>
      <c r="H163" s="7" t="s">
        <v>27</v>
      </c>
      <c r="I163" s="7" t="s">
        <v>28</v>
      </c>
      <c r="J163" s="7" t="s">
        <v>137</v>
      </c>
      <c r="K163" s="7" t="s">
        <v>517</v>
      </c>
      <c r="L163" s="7" t="s">
        <v>30</v>
      </c>
      <c r="M163" s="7" t="s">
        <v>43</v>
      </c>
      <c r="N163" s="9" t="s">
        <v>32</v>
      </c>
      <c r="O163" s="9" t="s">
        <v>99</v>
      </c>
      <c r="P163" s="9" t="s">
        <v>34</v>
      </c>
      <c r="Q163" s="10" t="str">
        <f>IF(IDMaster[[#This Row],[Consumption]]="Consumption",IDMaster[[#This Row],[Consumption]],IDMaster[[#This Row],[Basis]])</f>
        <v>Revenue</v>
      </c>
      <c r="R163" s="7" t="str">
        <f>IDMaster[[#This Row],[Supported Group]]&amp;"."&amp;IDMaster[[#This Row],[Basis]]</f>
        <v>Security.Revenue</v>
      </c>
      <c r="S163" s="11">
        <v>0.42185161428265983</v>
      </c>
      <c r="T163" s="12">
        <v>0.57814838571734017</v>
      </c>
      <c r="U163" s="12">
        <v>0</v>
      </c>
      <c r="V163" s="12">
        <v>0</v>
      </c>
      <c r="W163" s="12">
        <v>0</v>
      </c>
    </row>
    <row r="164" spans="1:23" x14ac:dyDescent="0.35">
      <c r="A164" s="7" t="s">
        <v>23</v>
      </c>
      <c r="B164" s="7" t="s">
        <v>518</v>
      </c>
      <c r="C164" s="7" t="s">
        <v>519</v>
      </c>
      <c r="D164" s="8">
        <v>289619</v>
      </c>
      <c r="E164" s="7" t="s">
        <v>95</v>
      </c>
      <c r="F164" s="7" t="s">
        <v>520</v>
      </c>
      <c r="G164" s="7" t="s">
        <v>97</v>
      </c>
      <c r="H164" s="7" t="s">
        <v>27</v>
      </c>
      <c r="I164" s="7" t="s">
        <v>28</v>
      </c>
      <c r="J164" s="7" t="s">
        <v>137</v>
      </c>
      <c r="K164" s="7" t="s">
        <v>517</v>
      </c>
      <c r="L164" s="7" t="s">
        <v>30</v>
      </c>
      <c r="M164" s="7" t="s">
        <v>43</v>
      </c>
      <c r="N164" s="9" t="s">
        <v>32</v>
      </c>
      <c r="O164" s="9" t="s">
        <v>99</v>
      </c>
      <c r="P164" s="9" t="s">
        <v>34</v>
      </c>
      <c r="Q164" s="10" t="str">
        <f>IF(IDMaster[[#This Row],[Consumption]]="Consumption",IDMaster[[#This Row],[Consumption]],IDMaster[[#This Row],[Basis]])</f>
        <v>Revenue</v>
      </c>
      <c r="R164" s="7" t="str">
        <f>IDMaster[[#This Row],[Supported Group]]&amp;"."&amp;IDMaster[[#This Row],[Basis]]</f>
        <v>Security.Revenue</v>
      </c>
      <c r="S164" s="11">
        <v>0.42185161428265983</v>
      </c>
      <c r="T164" s="12">
        <v>0.57814838571734017</v>
      </c>
      <c r="U164" s="12">
        <v>0</v>
      </c>
      <c r="V164" s="12">
        <v>0</v>
      </c>
      <c r="W164" s="12">
        <v>0</v>
      </c>
    </row>
    <row r="165" spans="1:23" x14ac:dyDescent="0.35">
      <c r="A165" s="7" t="s">
        <v>23</v>
      </c>
      <c r="B165" s="7" t="s">
        <v>521</v>
      </c>
      <c r="C165" s="7" t="s">
        <v>280</v>
      </c>
      <c r="D165" s="8">
        <v>365729</v>
      </c>
      <c r="E165" s="7" t="s">
        <v>46</v>
      </c>
      <c r="F165" s="7" t="s">
        <v>522</v>
      </c>
      <c r="G165" s="7" t="s">
        <v>48</v>
      </c>
      <c r="H165" s="7" t="s">
        <v>27</v>
      </c>
      <c r="I165" s="21" t="s">
        <v>28</v>
      </c>
      <c r="J165" s="7" t="s">
        <v>62</v>
      </c>
      <c r="K165" s="7" t="s">
        <v>63</v>
      </c>
      <c r="L165" s="7" t="s">
        <v>30</v>
      </c>
      <c r="M165" s="7" t="s">
        <v>43</v>
      </c>
      <c r="N165" s="9" t="s">
        <v>32</v>
      </c>
      <c r="O165" s="9" t="s">
        <v>64</v>
      </c>
      <c r="P165" s="14" t="s">
        <v>15</v>
      </c>
      <c r="Q165" s="10" t="str">
        <f>IF(IDMaster[[#This Row],[Consumption]]="Consumption",IDMaster[[#This Row],[Consumption]],IDMaster[[#This Row],[Basis]])</f>
        <v>Consumption</v>
      </c>
      <c r="R165" s="7" t="str">
        <f>IDMaster[[#This Row],[Supported Group]]&amp;"."&amp;IDMaster[[#This Row],[Basis]]</f>
        <v>Support.Revenue</v>
      </c>
      <c r="S165" s="11">
        <v>0.26838686787846361</v>
      </c>
      <c r="T165" s="12">
        <v>0.26838686787846361</v>
      </c>
      <c r="U165" s="12">
        <v>0</v>
      </c>
      <c r="V165" s="12">
        <v>0</v>
      </c>
      <c r="W165" s="12">
        <v>0.46322626424307284</v>
      </c>
    </row>
    <row r="166" spans="1:23" x14ac:dyDescent="0.35">
      <c r="A166" s="7" t="s">
        <v>23</v>
      </c>
      <c r="B166" s="7" t="s">
        <v>523</v>
      </c>
      <c r="C166" s="7" t="s">
        <v>280</v>
      </c>
      <c r="D166" s="8">
        <v>365729</v>
      </c>
      <c r="E166" s="7" t="s">
        <v>46</v>
      </c>
      <c r="F166" s="7" t="s">
        <v>524</v>
      </c>
      <c r="G166" s="7" t="s">
        <v>48</v>
      </c>
      <c r="H166" s="7" t="s">
        <v>27</v>
      </c>
      <c r="I166" s="21" t="s">
        <v>28</v>
      </c>
      <c r="J166" s="7" t="s">
        <v>62</v>
      </c>
      <c r="K166" s="7" t="s">
        <v>63</v>
      </c>
      <c r="L166" s="7" t="s">
        <v>30</v>
      </c>
      <c r="M166" s="7" t="s">
        <v>43</v>
      </c>
      <c r="N166" s="9" t="s">
        <v>32</v>
      </c>
      <c r="O166" s="9" t="s">
        <v>64</v>
      </c>
      <c r="P166" s="14" t="s">
        <v>15</v>
      </c>
      <c r="Q166" s="10" t="str">
        <f>IF(IDMaster[[#This Row],[Consumption]]="Consumption",IDMaster[[#This Row],[Consumption]],IDMaster[[#This Row],[Basis]])</f>
        <v>Consumption</v>
      </c>
      <c r="R166" s="7" t="str">
        <f>IDMaster[[#This Row],[Supported Group]]&amp;"."&amp;IDMaster[[#This Row],[Basis]]</f>
        <v>Support.Revenue</v>
      </c>
      <c r="S166" s="11">
        <v>0.26838686787846361</v>
      </c>
      <c r="T166" s="12">
        <v>0.26838686787846361</v>
      </c>
      <c r="U166" s="12">
        <v>0</v>
      </c>
      <c r="V166" s="12">
        <v>0</v>
      </c>
      <c r="W166" s="12">
        <v>0.46322626424307284</v>
      </c>
    </row>
    <row r="167" spans="1:23" x14ac:dyDescent="0.35">
      <c r="A167" s="7" t="s">
        <v>23</v>
      </c>
      <c r="B167" s="7" t="s">
        <v>525</v>
      </c>
      <c r="C167" s="7" t="s">
        <v>280</v>
      </c>
      <c r="D167" s="8">
        <v>365729</v>
      </c>
      <c r="E167" s="7" t="s">
        <v>46</v>
      </c>
      <c r="F167" s="7" t="s">
        <v>526</v>
      </c>
      <c r="G167" s="7" t="s">
        <v>48</v>
      </c>
      <c r="H167" s="7" t="s">
        <v>27</v>
      </c>
      <c r="I167" s="21" t="s">
        <v>28</v>
      </c>
      <c r="J167" s="7" t="s">
        <v>62</v>
      </c>
      <c r="K167" s="7" t="s">
        <v>63</v>
      </c>
      <c r="L167" s="7" t="s">
        <v>30</v>
      </c>
      <c r="M167" s="7" t="s">
        <v>43</v>
      </c>
      <c r="N167" s="9" t="s">
        <v>32</v>
      </c>
      <c r="O167" s="9" t="s">
        <v>64</v>
      </c>
      <c r="P167" s="14" t="s">
        <v>15</v>
      </c>
      <c r="Q167" s="10" t="str">
        <f>IF(IDMaster[[#This Row],[Consumption]]="Consumption",IDMaster[[#This Row],[Consumption]],IDMaster[[#This Row],[Basis]])</f>
        <v>Consumption</v>
      </c>
      <c r="R167" s="7" t="str">
        <f>IDMaster[[#This Row],[Supported Group]]&amp;"."&amp;IDMaster[[#This Row],[Basis]]</f>
        <v>Support.Revenue</v>
      </c>
      <c r="S167" s="11">
        <v>0.26838686787846361</v>
      </c>
      <c r="T167" s="12">
        <v>0.26838686787846361</v>
      </c>
      <c r="U167" s="12">
        <v>0</v>
      </c>
      <c r="V167" s="12">
        <v>0</v>
      </c>
      <c r="W167" s="12">
        <v>0.46322626424307284</v>
      </c>
    </row>
    <row r="168" spans="1:23" x14ac:dyDescent="0.35">
      <c r="A168" s="7" t="s">
        <v>23</v>
      </c>
      <c r="B168" s="7" t="s">
        <v>527</v>
      </c>
      <c r="C168" s="7" t="s">
        <v>280</v>
      </c>
      <c r="D168" s="8">
        <v>365729</v>
      </c>
      <c r="E168" s="7" t="s">
        <v>46</v>
      </c>
      <c r="F168" s="7" t="s">
        <v>528</v>
      </c>
      <c r="G168" s="7" t="s">
        <v>48</v>
      </c>
      <c r="H168" s="7" t="s">
        <v>27</v>
      </c>
      <c r="I168" s="21" t="s">
        <v>28</v>
      </c>
      <c r="J168" s="7" t="s">
        <v>62</v>
      </c>
      <c r="K168" s="7" t="s">
        <v>63</v>
      </c>
      <c r="L168" s="7" t="s">
        <v>30</v>
      </c>
      <c r="M168" s="7" t="s">
        <v>43</v>
      </c>
      <c r="N168" s="9" t="s">
        <v>32</v>
      </c>
      <c r="O168" s="9" t="s">
        <v>64</v>
      </c>
      <c r="P168" s="14" t="s">
        <v>15</v>
      </c>
      <c r="Q168" s="10" t="str">
        <f>IF(IDMaster[[#This Row],[Consumption]]="Consumption",IDMaster[[#This Row],[Consumption]],IDMaster[[#This Row],[Basis]])</f>
        <v>Consumption</v>
      </c>
      <c r="R168" s="7" t="str">
        <f>IDMaster[[#This Row],[Supported Group]]&amp;"."&amp;IDMaster[[#This Row],[Basis]]</f>
        <v>Support.Revenue</v>
      </c>
      <c r="S168" s="11">
        <v>0.26838686787846361</v>
      </c>
      <c r="T168" s="12">
        <v>0.26838686787846361</v>
      </c>
      <c r="U168" s="12">
        <v>0</v>
      </c>
      <c r="V168" s="12">
        <v>0</v>
      </c>
      <c r="W168" s="12">
        <v>0.46322626424307284</v>
      </c>
    </row>
    <row r="169" spans="1:23" x14ac:dyDescent="0.35">
      <c r="A169" s="7" t="s">
        <v>23</v>
      </c>
      <c r="B169" s="7" t="s">
        <v>529</v>
      </c>
      <c r="C169" s="7" t="s">
        <v>290</v>
      </c>
      <c r="D169" s="8">
        <v>317598</v>
      </c>
      <c r="E169" s="7" t="s">
        <v>454</v>
      </c>
      <c r="F169" s="7" t="s">
        <v>530</v>
      </c>
      <c r="G169" s="7" t="s">
        <v>152</v>
      </c>
      <c r="H169" s="7" t="s">
        <v>27</v>
      </c>
      <c r="I169" s="7" t="s">
        <v>28</v>
      </c>
      <c r="J169" s="7" t="s">
        <v>62</v>
      </c>
      <c r="K169" s="7" t="s">
        <v>63</v>
      </c>
      <c r="L169" s="7" t="s">
        <v>30</v>
      </c>
      <c r="M169" s="7" t="s">
        <v>43</v>
      </c>
      <c r="N169" s="9" t="s">
        <v>32</v>
      </c>
      <c r="O169" s="9" t="s">
        <v>67</v>
      </c>
      <c r="P169" s="9" t="s">
        <v>34</v>
      </c>
      <c r="Q169" s="10" t="str">
        <f>IF(IDMaster[[#This Row],[Consumption]]="Consumption",IDMaster[[#This Row],[Consumption]],IDMaster[[#This Row],[Basis]])</f>
        <v>Revenue</v>
      </c>
      <c r="R169" s="7" t="str">
        <f>IDMaster[[#This Row],[Supported Group]]&amp;"."&amp;IDMaster[[#This Row],[Basis]]</f>
        <v>IT Corporate.Revenue</v>
      </c>
      <c r="S169" s="11">
        <v>0.42185161428265983</v>
      </c>
      <c r="T169" s="12">
        <v>0.57814838571734017</v>
      </c>
      <c r="U169" s="12">
        <v>0</v>
      </c>
      <c r="V169" s="12">
        <v>0</v>
      </c>
      <c r="W169" s="12">
        <v>0</v>
      </c>
    </row>
    <row r="170" spans="1:23" x14ac:dyDescent="0.35">
      <c r="A170" s="7" t="s">
        <v>23</v>
      </c>
      <c r="B170" s="7" t="s">
        <v>531</v>
      </c>
      <c r="C170" s="7" t="s">
        <v>532</v>
      </c>
      <c r="D170" s="8">
        <v>449210</v>
      </c>
      <c r="E170" s="7" t="s">
        <v>533</v>
      </c>
      <c r="F170" s="7" t="s">
        <v>534</v>
      </c>
      <c r="G170" s="7" t="s">
        <v>72</v>
      </c>
      <c r="H170" s="7" t="s">
        <v>49</v>
      </c>
      <c r="I170" s="7" t="s">
        <v>28</v>
      </c>
      <c r="J170" s="7" t="s">
        <v>40</v>
      </c>
      <c r="K170" s="7" t="s">
        <v>80</v>
      </c>
      <c r="L170" s="7" t="s">
        <v>42</v>
      </c>
      <c r="M170" s="7" t="s">
        <v>43</v>
      </c>
      <c r="N170" s="9" t="s">
        <v>32</v>
      </c>
      <c r="O170" s="9" t="s">
        <v>44</v>
      </c>
      <c r="P170" s="9" t="s">
        <v>34</v>
      </c>
      <c r="Q170" s="10" t="str">
        <f>IF(IDMaster[[#This Row],[Consumption]]="Consumption",IDMaster[[#This Row],[Consumption]],IDMaster[[#This Row],[Basis]])</f>
        <v>Revenue</v>
      </c>
      <c r="R170" s="7" t="str">
        <f>IDMaster[[#This Row],[Supported Group]]&amp;"."&amp;IDMaster[[#This Row],[Basis]]</f>
        <v>Corporate.Revenue</v>
      </c>
      <c r="S170" s="11">
        <v>0.42185161428265983</v>
      </c>
      <c r="T170" s="12">
        <v>0.57814838571734017</v>
      </c>
      <c r="U170" s="12">
        <v>0</v>
      </c>
      <c r="V170" s="12">
        <v>0</v>
      </c>
      <c r="W170" s="12">
        <v>0</v>
      </c>
    </row>
    <row r="171" spans="1:23" x14ac:dyDescent="0.35">
      <c r="A171" s="7" t="s">
        <v>23</v>
      </c>
      <c r="B171" s="7" t="s">
        <v>535</v>
      </c>
      <c r="C171" s="7" t="s">
        <v>536</v>
      </c>
      <c r="D171" s="8">
        <v>300434</v>
      </c>
      <c r="E171" s="7" t="s">
        <v>117</v>
      </c>
      <c r="F171" s="7" t="s">
        <v>537</v>
      </c>
      <c r="G171" s="7" t="s">
        <v>72</v>
      </c>
      <c r="H171" s="7" t="s">
        <v>49</v>
      </c>
      <c r="I171" s="7" t="s">
        <v>123</v>
      </c>
      <c r="J171" s="7" t="s">
        <v>62</v>
      </c>
      <c r="K171" s="7" t="s">
        <v>63</v>
      </c>
      <c r="L171" s="7" t="s">
        <v>30</v>
      </c>
      <c r="M171" s="7" t="s">
        <v>43</v>
      </c>
      <c r="N171" s="9" t="s">
        <v>126</v>
      </c>
      <c r="O171" s="9" t="s">
        <v>538</v>
      </c>
      <c r="P171" s="9" t="s">
        <v>34</v>
      </c>
      <c r="Q171" s="10" t="str">
        <f>IF(IDMaster[[#This Row],[Consumption]]="Consumption",IDMaster[[#This Row],[Consumption]],IDMaster[[#This Row],[Basis]])</f>
        <v>RAC Direct</v>
      </c>
      <c r="R171" s="7" t="str">
        <f>IDMaster[[#This Row],[Supported Group]]&amp;"."&amp;IDMaster[[#This Row],[Basis]]</f>
        <v>RAC.RAC Direct</v>
      </c>
      <c r="S171" s="11">
        <v>1</v>
      </c>
      <c r="T171" s="12">
        <v>0</v>
      </c>
      <c r="U171" s="12">
        <v>0</v>
      </c>
      <c r="V171" s="12">
        <v>0</v>
      </c>
      <c r="W171" s="12">
        <v>0</v>
      </c>
    </row>
    <row r="172" spans="1:23" x14ac:dyDescent="0.35">
      <c r="A172" s="7" t="s">
        <v>23</v>
      </c>
      <c r="B172" s="7" t="s">
        <v>539</v>
      </c>
      <c r="C172" s="7" t="s">
        <v>540</v>
      </c>
      <c r="D172" s="8">
        <v>449842</v>
      </c>
      <c r="E172" s="7" t="s">
        <v>506</v>
      </c>
      <c r="F172" s="7" t="s">
        <v>541</v>
      </c>
      <c r="G172" s="7" t="s">
        <v>72</v>
      </c>
      <c r="H172" s="7" t="s">
        <v>49</v>
      </c>
      <c r="I172" s="7" t="s">
        <v>28</v>
      </c>
      <c r="J172" s="7" t="s">
        <v>40</v>
      </c>
      <c r="K172" s="7" t="s">
        <v>80</v>
      </c>
      <c r="L172" s="7" t="s">
        <v>42</v>
      </c>
      <c r="M172" s="7" t="s">
        <v>43</v>
      </c>
      <c r="N172" s="9" t="s">
        <v>32</v>
      </c>
      <c r="O172" s="9" t="s">
        <v>407</v>
      </c>
      <c r="P172" s="9" t="s">
        <v>34</v>
      </c>
      <c r="Q172" s="10" t="str">
        <f>IF(IDMaster[[#This Row],[Consumption]]="Consumption",IDMaster[[#This Row],[Consumption]],IDMaster[[#This Row],[Basis]])</f>
        <v>Revenue</v>
      </c>
      <c r="R172" s="7" t="str">
        <f>IDMaster[[#This Row],[Supported Group]]&amp;"."&amp;IDMaster[[#This Row],[Basis]]</f>
        <v>IT Dev Tools.Revenue</v>
      </c>
      <c r="S172" s="11">
        <v>0.42185161428265983</v>
      </c>
      <c r="T172" s="12">
        <v>0.57814838571734017</v>
      </c>
      <c r="U172" s="12">
        <v>0</v>
      </c>
      <c r="V172" s="12">
        <v>0</v>
      </c>
      <c r="W172" s="12">
        <v>0</v>
      </c>
    </row>
    <row r="173" spans="1:23" x14ac:dyDescent="0.35">
      <c r="A173" s="7" t="s">
        <v>23</v>
      </c>
      <c r="B173" s="7" t="s">
        <v>542</v>
      </c>
      <c r="C173" s="7" t="s">
        <v>543</v>
      </c>
      <c r="D173" s="8">
        <v>449841</v>
      </c>
      <c r="E173" s="7" t="s">
        <v>53</v>
      </c>
      <c r="F173" s="7" t="s">
        <v>544</v>
      </c>
      <c r="G173" s="7" t="s">
        <v>55</v>
      </c>
      <c r="H173" s="7" t="s">
        <v>49</v>
      </c>
      <c r="I173" s="7" t="s">
        <v>28</v>
      </c>
      <c r="J173" s="7" t="s">
        <v>40</v>
      </c>
      <c r="K173" s="7" t="s">
        <v>80</v>
      </c>
      <c r="L173" s="7" t="s">
        <v>42</v>
      </c>
      <c r="M173" s="7" t="s">
        <v>43</v>
      </c>
      <c r="N173" s="9" t="s">
        <v>32</v>
      </c>
      <c r="O173" s="9" t="s">
        <v>33</v>
      </c>
      <c r="P173" s="9" t="s">
        <v>34</v>
      </c>
      <c r="Q173" s="10" t="str">
        <f>IF(IDMaster[[#This Row],[Consumption]]="Consumption",IDMaster[[#This Row],[Consumption]],IDMaster[[#This Row],[Basis]])</f>
        <v>Revenue</v>
      </c>
      <c r="R173" s="7" t="str">
        <f>IDMaster[[#This Row],[Supported Group]]&amp;"."&amp;IDMaster[[#This Row],[Basis]]</f>
        <v>IT Tools.Revenue</v>
      </c>
      <c r="S173" s="11">
        <v>0.42185161428265983</v>
      </c>
      <c r="T173" s="12">
        <v>0.57814838571734017</v>
      </c>
      <c r="U173" s="12">
        <v>0</v>
      </c>
      <c r="V173" s="12">
        <v>0</v>
      </c>
      <c r="W173" s="12">
        <v>0</v>
      </c>
    </row>
    <row r="174" spans="1:23" x14ac:dyDescent="0.35">
      <c r="A174" s="7" t="s">
        <v>23</v>
      </c>
      <c r="B174" s="7" t="s">
        <v>545</v>
      </c>
      <c r="C174" s="7" t="s">
        <v>546</v>
      </c>
      <c r="D174" s="8">
        <v>147446</v>
      </c>
      <c r="E174" s="7" t="s">
        <v>25</v>
      </c>
      <c r="F174" s="7" t="s">
        <v>547</v>
      </c>
      <c r="G174" s="7" t="s">
        <v>25</v>
      </c>
      <c r="H174" s="7" t="s">
        <v>49</v>
      </c>
      <c r="I174" s="7" t="s">
        <v>28</v>
      </c>
      <c r="J174" s="7" t="s">
        <v>137</v>
      </c>
      <c r="K174" s="7" t="s">
        <v>63</v>
      </c>
      <c r="L174" s="7" t="s">
        <v>30</v>
      </c>
      <c r="M174" s="7" t="s">
        <v>43</v>
      </c>
      <c r="N174" s="9" t="s">
        <v>92</v>
      </c>
      <c r="O174" s="9" t="s">
        <v>67</v>
      </c>
      <c r="P174" s="9" t="s">
        <v>34</v>
      </c>
      <c r="Q174" s="10" t="str">
        <f>IF(IDMaster[[#This Row],[Consumption]]="Consumption",IDMaster[[#This Row],[Consumption]],IDMaster[[#This Row],[Basis]])</f>
        <v>Total Headcount</v>
      </c>
      <c r="R174" s="7" t="str">
        <f>IDMaster[[#This Row],[Supported Group]]&amp;"."&amp;IDMaster[[#This Row],[Basis]]</f>
        <v>IT Corporate.Total Headcount</v>
      </c>
      <c r="S174" s="11">
        <v>0.69106036166058238</v>
      </c>
      <c r="T174" s="12">
        <v>0.14347567705238135</v>
      </c>
      <c r="U174" s="12">
        <v>0</v>
      </c>
      <c r="V174" s="12">
        <v>0</v>
      </c>
      <c r="W174" s="12">
        <v>0.16546396128703625</v>
      </c>
    </row>
    <row r="175" spans="1:23" x14ac:dyDescent="0.35">
      <c r="A175" s="7" t="s">
        <v>23</v>
      </c>
      <c r="B175" s="7" t="s">
        <v>548</v>
      </c>
      <c r="C175" s="7" t="s">
        <v>549</v>
      </c>
      <c r="D175" s="8">
        <v>448795</v>
      </c>
      <c r="E175" s="7" t="s">
        <v>550</v>
      </c>
      <c r="F175" s="7" t="s">
        <v>551</v>
      </c>
      <c r="G175" s="7" t="s">
        <v>152</v>
      </c>
      <c r="H175" s="7" t="s">
        <v>49</v>
      </c>
      <c r="I175" s="7" t="s">
        <v>28</v>
      </c>
      <c r="J175" s="7" t="s">
        <v>40</v>
      </c>
      <c r="K175" s="7" t="s">
        <v>80</v>
      </c>
      <c r="L175" s="7" t="s">
        <v>42</v>
      </c>
      <c r="M175" s="7" t="s">
        <v>43</v>
      </c>
      <c r="N175" s="9" t="s">
        <v>32</v>
      </c>
      <c r="O175" s="9" t="s">
        <v>33</v>
      </c>
      <c r="P175" s="9" t="s">
        <v>34</v>
      </c>
      <c r="Q175" s="10" t="str">
        <f>IF(IDMaster[[#This Row],[Consumption]]="Consumption",IDMaster[[#This Row],[Consumption]],IDMaster[[#This Row],[Basis]])</f>
        <v>Revenue</v>
      </c>
      <c r="R175" s="7" t="str">
        <f>IDMaster[[#This Row],[Supported Group]]&amp;"."&amp;IDMaster[[#This Row],[Basis]]</f>
        <v>IT Tools.Revenue</v>
      </c>
      <c r="S175" s="11">
        <v>0.42185161428265983</v>
      </c>
      <c r="T175" s="12">
        <v>0.57814838571734017</v>
      </c>
      <c r="U175" s="12">
        <v>0</v>
      </c>
      <c r="V175" s="12">
        <v>0</v>
      </c>
      <c r="W175" s="12">
        <v>0</v>
      </c>
    </row>
    <row r="176" spans="1:23" x14ac:dyDescent="0.35">
      <c r="A176" s="7" t="s">
        <v>23</v>
      </c>
      <c r="B176" s="7" t="s">
        <v>552</v>
      </c>
      <c r="C176" s="7" t="s">
        <v>553</v>
      </c>
      <c r="D176" s="8">
        <v>302705</v>
      </c>
      <c r="E176" s="7"/>
      <c r="F176" s="7" t="s">
        <v>554</v>
      </c>
      <c r="G176" s="7" t="s">
        <v>152</v>
      </c>
      <c r="H176" s="7" t="s">
        <v>39</v>
      </c>
      <c r="I176" s="7" t="s">
        <v>28</v>
      </c>
      <c r="J176" s="7" t="s">
        <v>40</v>
      </c>
      <c r="K176" s="7" t="s">
        <v>41</v>
      </c>
      <c r="L176" s="7" t="s">
        <v>42</v>
      </c>
      <c r="M176" s="7" t="s">
        <v>43</v>
      </c>
      <c r="N176" s="9" t="s">
        <v>32</v>
      </c>
      <c r="O176" s="9" t="s">
        <v>141</v>
      </c>
      <c r="P176" s="9" t="s">
        <v>34</v>
      </c>
      <c r="Q176" s="10" t="str">
        <f>IF(IDMaster[[#This Row],[Consumption]]="Consumption",IDMaster[[#This Row],[Consumption]],IDMaster[[#This Row],[Basis]])</f>
        <v>Revenue</v>
      </c>
      <c r="R176" s="7" t="str">
        <f>IDMaster[[#This Row],[Supported Group]]&amp;"."&amp;IDMaster[[#This Row],[Basis]]</f>
        <v>Other.Revenue</v>
      </c>
      <c r="S176" s="11">
        <v>0.42185161428265983</v>
      </c>
      <c r="T176" s="12">
        <v>0.57814838571734017</v>
      </c>
      <c r="U176" s="12">
        <v>0</v>
      </c>
      <c r="V176" s="12">
        <v>0</v>
      </c>
      <c r="W176" s="12">
        <v>0</v>
      </c>
    </row>
    <row r="177" spans="1:23" x14ac:dyDescent="0.35">
      <c r="A177" s="7" t="s">
        <v>23</v>
      </c>
      <c r="B177" s="7" t="s">
        <v>555</v>
      </c>
      <c r="C177" s="7" t="s">
        <v>556</v>
      </c>
      <c r="D177" s="8">
        <v>447965</v>
      </c>
      <c r="E177" s="7" t="s">
        <v>295</v>
      </c>
      <c r="F177" s="7" t="s">
        <v>557</v>
      </c>
      <c r="G177" s="7" t="s">
        <v>48</v>
      </c>
      <c r="H177" s="7" t="s">
        <v>49</v>
      </c>
      <c r="I177" s="7" t="s">
        <v>28</v>
      </c>
      <c r="J177" s="7" t="s">
        <v>137</v>
      </c>
      <c r="K177" s="7" t="s">
        <v>63</v>
      </c>
      <c r="L177" s="7" t="s">
        <v>30</v>
      </c>
      <c r="M177" s="7" t="s">
        <v>43</v>
      </c>
      <c r="N177" s="9" t="s">
        <v>32</v>
      </c>
      <c r="O177" s="9" t="s">
        <v>33</v>
      </c>
      <c r="P177" s="9" t="s">
        <v>34</v>
      </c>
      <c r="Q177" s="10" t="str">
        <f>IF(IDMaster[[#This Row],[Consumption]]="Consumption",IDMaster[[#This Row],[Consumption]],IDMaster[[#This Row],[Basis]])</f>
        <v>Revenue</v>
      </c>
      <c r="R177" s="7" t="str">
        <f>IDMaster[[#This Row],[Supported Group]]&amp;"."&amp;IDMaster[[#This Row],[Basis]]</f>
        <v>IT Tools.Revenue</v>
      </c>
      <c r="S177" s="11">
        <v>0.42185161428265983</v>
      </c>
      <c r="T177" s="12">
        <v>0.57814838571734017</v>
      </c>
      <c r="U177" s="12">
        <v>0</v>
      </c>
      <c r="V177" s="12">
        <v>0</v>
      </c>
      <c r="W177" s="12">
        <v>0</v>
      </c>
    </row>
    <row r="178" spans="1:23" x14ac:dyDescent="0.35">
      <c r="A178" s="7" t="s">
        <v>23</v>
      </c>
      <c r="B178" s="7" t="s">
        <v>558</v>
      </c>
      <c r="C178" s="7" t="s">
        <v>536</v>
      </c>
      <c r="D178" s="8">
        <v>300434</v>
      </c>
      <c r="E178" s="7" t="s">
        <v>559</v>
      </c>
      <c r="F178" s="7" t="s">
        <v>560</v>
      </c>
      <c r="G178" s="7" t="s">
        <v>48</v>
      </c>
      <c r="H178" s="7" t="s">
        <v>49</v>
      </c>
      <c r="I178" s="7" t="s">
        <v>123</v>
      </c>
      <c r="J178" s="7" t="s">
        <v>62</v>
      </c>
      <c r="K178" s="7" t="s">
        <v>561</v>
      </c>
      <c r="L178" s="7" t="s">
        <v>30</v>
      </c>
      <c r="M178" s="7" t="s">
        <v>43</v>
      </c>
      <c r="N178" s="9" t="s">
        <v>446</v>
      </c>
      <c r="O178" s="9" t="s">
        <v>447</v>
      </c>
      <c r="P178" s="9" t="s">
        <v>34</v>
      </c>
      <c r="Q178" s="10" t="str">
        <f>IF(IDMaster[[#This Row],[Consumption]]="Consumption",IDMaster[[#This Row],[Consumption]],IDMaster[[#This Row],[Basis]])</f>
        <v>Acima Direct</v>
      </c>
      <c r="R178" s="7" t="str">
        <f>IDMaster[[#This Row],[Supported Group]]&amp;"."&amp;IDMaster[[#This Row],[Basis]]</f>
        <v>Acima.Acima Direct</v>
      </c>
      <c r="S178" s="11">
        <v>0</v>
      </c>
      <c r="T178" s="12">
        <v>1</v>
      </c>
      <c r="U178" s="12">
        <v>0</v>
      </c>
      <c r="V178" s="12">
        <v>0</v>
      </c>
      <c r="W178" s="12">
        <v>0</v>
      </c>
    </row>
    <row r="179" spans="1:23" x14ac:dyDescent="0.35">
      <c r="A179" s="7" t="s">
        <v>23</v>
      </c>
      <c r="B179" s="7" t="s">
        <v>562</v>
      </c>
      <c r="C179" s="7" t="s">
        <v>563</v>
      </c>
      <c r="D179" s="8">
        <v>448934</v>
      </c>
      <c r="E179" s="7" t="s">
        <v>150</v>
      </c>
      <c r="F179" s="7" t="s">
        <v>564</v>
      </c>
      <c r="G179" s="7" t="s">
        <v>152</v>
      </c>
      <c r="H179" s="7" t="s">
        <v>39</v>
      </c>
      <c r="I179" s="7" t="s">
        <v>28</v>
      </c>
      <c r="J179" s="7" t="s">
        <v>40</v>
      </c>
      <c r="K179" s="7" t="s">
        <v>80</v>
      </c>
      <c r="L179" s="7" t="s">
        <v>42</v>
      </c>
      <c r="M179" s="7" t="s">
        <v>43</v>
      </c>
      <c r="N179" s="9" t="s">
        <v>32</v>
      </c>
      <c r="O179" s="9" t="s">
        <v>447</v>
      </c>
      <c r="P179" s="9" t="s">
        <v>34</v>
      </c>
      <c r="Q179" s="10" t="str">
        <f>IF(IDMaster[[#This Row],[Consumption]]="Consumption",IDMaster[[#This Row],[Consumption]],IDMaster[[#This Row],[Basis]])</f>
        <v>Revenue</v>
      </c>
      <c r="R179" s="7" t="str">
        <f>IDMaster[[#This Row],[Supported Group]]&amp;"."&amp;IDMaster[[#This Row],[Basis]]</f>
        <v>Acima.Revenue</v>
      </c>
      <c r="S179" s="11">
        <v>0.42185161428265983</v>
      </c>
      <c r="T179" s="12">
        <v>0.57814838571734017</v>
      </c>
      <c r="U179" s="12">
        <v>0</v>
      </c>
      <c r="V179" s="12">
        <v>0</v>
      </c>
      <c r="W179" s="12">
        <v>0</v>
      </c>
    </row>
    <row r="180" spans="1:23" x14ac:dyDescent="0.35">
      <c r="A180" s="7" t="s">
        <v>23</v>
      </c>
      <c r="B180" s="7" t="s">
        <v>565</v>
      </c>
      <c r="C180" s="15" t="s">
        <v>566</v>
      </c>
      <c r="D180" s="8">
        <v>261635</v>
      </c>
      <c r="E180" s="7" t="s">
        <v>265</v>
      </c>
      <c r="F180" s="7" t="s">
        <v>567</v>
      </c>
      <c r="G180" s="7" t="s">
        <v>48</v>
      </c>
      <c r="H180" s="7" t="s">
        <v>49</v>
      </c>
      <c r="I180" s="7" t="s">
        <v>28</v>
      </c>
      <c r="J180" s="7" t="s">
        <v>40</v>
      </c>
      <c r="K180" s="7" t="s">
        <v>80</v>
      </c>
      <c r="L180" s="7" t="s">
        <v>42</v>
      </c>
      <c r="M180" s="7" t="s">
        <v>43</v>
      </c>
      <c r="N180" s="9" t="s">
        <v>32</v>
      </c>
      <c r="O180" s="9" t="s">
        <v>51</v>
      </c>
      <c r="P180" s="9" t="s">
        <v>34</v>
      </c>
      <c r="Q180" s="10" t="str">
        <f>IF(IDMaster[[#This Row],[Consumption]]="Consumption",IDMaster[[#This Row],[Consumption]],IDMaster[[#This Row],[Basis]])</f>
        <v>Revenue</v>
      </c>
      <c r="R180" s="7" t="str">
        <f>IDMaster[[#This Row],[Supported Group]]&amp;"."&amp;IDMaster[[#This Row],[Basis]]</f>
        <v>IT Infrastructure.Revenue</v>
      </c>
      <c r="S180" s="11">
        <v>0.42185161428265983</v>
      </c>
      <c r="T180" s="12">
        <v>0.57814838571734017</v>
      </c>
      <c r="U180" s="12">
        <v>0</v>
      </c>
      <c r="V180" s="12">
        <v>0</v>
      </c>
      <c r="W180" s="12">
        <v>0</v>
      </c>
    </row>
    <row r="181" spans="1:23" x14ac:dyDescent="0.35">
      <c r="A181" s="7" t="s">
        <v>23</v>
      </c>
      <c r="B181" s="7" t="s">
        <v>568</v>
      </c>
      <c r="C181" s="7" t="s">
        <v>569</v>
      </c>
      <c r="D181" s="8">
        <v>312974</v>
      </c>
      <c r="E181" s="7" t="s">
        <v>451</v>
      </c>
      <c r="F181" s="7" t="s">
        <v>570</v>
      </c>
      <c r="G181" s="7" t="s">
        <v>48</v>
      </c>
      <c r="H181" s="7" t="s">
        <v>49</v>
      </c>
      <c r="I181" s="7" t="s">
        <v>28</v>
      </c>
      <c r="J181" s="7" t="s">
        <v>137</v>
      </c>
      <c r="K181" s="7" t="s">
        <v>63</v>
      </c>
      <c r="L181" s="7" t="s">
        <v>30</v>
      </c>
      <c r="M181" s="7" t="s">
        <v>43</v>
      </c>
      <c r="N181" s="9" t="s">
        <v>32</v>
      </c>
      <c r="O181" s="9" t="s">
        <v>51</v>
      </c>
      <c r="P181" s="9" t="s">
        <v>34</v>
      </c>
      <c r="Q181" s="10" t="str">
        <f>IF(IDMaster[[#This Row],[Consumption]]="Consumption",IDMaster[[#This Row],[Consumption]],IDMaster[[#This Row],[Basis]])</f>
        <v>Revenue</v>
      </c>
      <c r="R181" s="7" t="str">
        <f>IDMaster[[#This Row],[Supported Group]]&amp;"."&amp;IDMaster[[#This Row],[Basis]]</f>
        <v>IT Infrastructure.Revenue</v>
      </c>
      <c r="S181" s="11">
        <v>0.42185161428265983</v>
      </c>
      <c r="T181" s="12">
        <v>0.57814838571734017</v>
      </c>
      <c r="U181" s="12">
        <v>0</v>
      </c>
      <c r="V181" s="12">
        <v>0</v>
      </c>
      <c r="W181" s="12">
        <v>0</v>
      </c>
    </row>
    <row r="182" spans="1:23" x14ac:dyDescent="0.35">
      <c r="A182" s="7" t="s">
        <v>23</v>
      </c>
      <c r="B182" s="7" t="s">
        <v>571</v>
      </c>
      <c r="C182" s="7" t="s">
        <v>572</v>
      </c>
      <c r="D182" s="8">
        <v>283242</v>
      </c>
      <c r="E182" s="7" t="s">
        <v>150</v>
      </c>
      <c r="F182" s="7" t="s">
        <v>573</v>
      </c>
      <c r="G182" s="7" t="s">
        <v>152</v>
      </c>
      <c r="H182" s="7" t="s">
        <v>489</v>
      </c>
      <c r="I182" s="7" t="s">
        <v>28</v>
      </c>
      <c r="J182" s="7" t="s">
        <v>137</v>
      </c>
      <c r="K182" s="7" t="s">
        <v>63</v>
      </c>
      <c r="L182" s="7" t="s">
        <v>30</v>
      </c>
      <c r="M182" s="7" t="s">
        <v>43</v>
      </c>
      <c r="N182" s="9" t="s">
        <v>32</v>
      </c>
      <c r="O182" s="9" t="s">
        <v>574</v>
      </c>
      <c r="P182" s="9" t="s">
        <v>34</v>
      </c>
      <c r="Q182" s="10" t="str">
        <f>IF(IDMaster[[#This Row],[Consumption]]="Consumption",IDMaster[[#This Row],[Consumption]],IDMaster[[#This Row],[Basis]])</f>
        <v>Revenue</v>
      </c>
      <c r="R182" s="7" t="str">
        <f>IDMaster[[#This Row],[Supported Group]]&amp;"."&amp;IDMaster[[#This Row],[Basis]]</f>
        <v>Marketing.Revenue</v>
      </c>
      <c r="S182" s="11">
        <v>0.42185161428265983</v>
      </c>
      <c r="T182" s="12">
        <v>0.57814838571734017</v>
      </c>
      <c r="U182" s="12">
        <v>0</v>
      </c>
      <c r="V182" s="12">
        <v>0</v>
      </c>
      <c r="W182" s="12">
        <v>0</v>
      </c>
    </row>
    <row r="183" spans="1:23" x14ac:dyDescent="0.35">
      <c r="A183" s="7" t="s">
        <v>23</v>
      </c>
      <c r="B183" s="7" t="s">
        <v>575</v>
      </c>
      <c r="C183" s="7" t="s">
        <v>169</v>
      </c>
      <c r="D183" s="8"/>
      <c r="E183" s="7" t="s">
        <v>95</v>
      </c>
      <c r="F183" s="7" t="s">
        <v>576</v>
      </c>
      <c r="G183" s="7" t="s">
        <v>97</v>
      </c>
      <c r="H183" s="7" t="s">
        <v>27</v>
      </c>
      <c r="I183" s="7" t="s">
        <v>28</v>
      </c>
      <c r="J183" s="7" t="s">
        <v>137</v>
      </c>
      <c r="K183" s="7" t="s">
        <v>63</v>
      </c>
      <c r="L183" s="7" t="s">
        <v>30</v>
      </c>
      <c r="M183" s="7" t="s">
        <v>43</v>
      </c>
      <c r="N183" s="9" t="s">
        <v>32</v>
      </c>
      <c r="O183" s="9" t="s">
        <v>99</v>
      </c>
      <c r="P183" s="9" t="s">
        <v>34</v>
      </c>
      <c r="Q183" s="10" t="str">
        <f>IF(IDMaster[[#This Row],[Consumption]]="Consumption",IDMaster[[#This Row],[Consumption]],IDMaster[[#This Row],[Basis]])</f>
        <v>Revenue</v>
      </c>
      <c r="R183" s="7" t="str">
        <f>IDMaster[[#This Row],[Supported Group]]&amp;"."&amp;IDMaster[[#This Row],[Basis]]</f>
        <v>Security.Revenue</v>
      </c>
      <c r="S183" s="11">
        <v>0.42185161428265983</v>
      </c>
      <c r="T183" s="12">
        <v>0.57814838571734017</v>
      </c>
      <c r="U183" s="12">
        <v>0</v>
      </c>
      <c r="V183" s="12">
        <v>0</v>
      </c>
      <c r="W183" s="12">
        <v>0</v>
      </c>
    </row>
    <row r="184" spans="1:23" x14ac:dyDescent="0.35">
      <c r="A184" s="7" t="s">
        <v>23</v>
      </c>
      <c r="B184" s="7" t="s">
        <v>577</v>
      </c>
      <c r="C184" s="7" t="s">
        <v>237</v>
      </c>
      <c r="D184" s="8">
        <v>9427</v>
      </c>
      <c r="E184" s="7" t="s">
        <v>95</v>
      </c>
      <c r="F184" s="7" t="s">
        <v>578</v>
      </c>
      <c r="G184" s="7" t="s">
        <v>97</v>
      </c>
      <c r="H184" s="7" t="s">
        <v>49</v>
      </c>
      <c r="I184" s="7" t="s">
        <v>28</v>
      </c>
      <c r="J184" s="7" t="s">
        <v>137</v>
      </c>
      <c r="K184" s="7" t="s">
        <v>63</v>
      </c>
      <c r="L184" s="7" t="s">
        <v>30</v>
      </c>
      <c r="M184" s="7" t="s">
        <v>43</v>
      </c>
      <c r="N184" s="9" t="s">
        <v>32</v>
      </c>
      <c r="O184" s="9" t="s">
        <v>99</v>
      </c>
      <c r="P184" s="9" t="s">
        <v>34</v>
      </c>
      <c r="Q184" s="10" t="str">
        <f>IF(IDMaster[[#This Row],[Consumption]]="Consumption",IDMaster[[#This Row],[Consumption]],IDMaster[[#This Row],[Basis]])</f>
        <v>Revenue</v>
      </c>
      <c r="R184" s="7" t="str">
        <f>IDMaster[[#This Row],[Supported Group]]&amp;"."&amp;IDMaster[[#This Row],[Basis]]</f>
        <v>Security.Revenue</v>
      </c>
      <c r="S184" s="11">
        <v>0.42185161428265983</v>
      </c>
      <c r="T184" s="12">
        <v>0.57814838571734017</v>
      </c>
      <c r="U184" s="12">
        <v>0</v>
      </c>
      <c r="V184" s="12">
        <v>0</v>
      </c>
      <c r="W184" s="12">
        <v>0</v>
      </c>
    </row>
    <row r="185" spans="1:23" x14ac:dyDescent="0.35">
      <c r="A185" s="7" t="s">
        <v>23</v>
      </c>
      <c r="B185" s="7" t="s">
        <v>579</v>
      </c>
      <c r="C185" s="7" t="s">
        <v>241</v>
      </c>
      <c r="D185" s="8">
        <v>385624</v>
      </c>
      <c r="E185" s="7" t="s">
        <v>95</v>
      </c>
      <c r="F185" s="7" t="s">
        <v>580</v>
      </c>
      <c r="G185" s="7" t="s">
        <v>97</v>
      </c>
      <c r="H185" s="7" t="s">
        <v>49</v>
      </c>
      <c r="I185" s="7" t="s">
        <v>28</v>
      </c>
      <c r="J185" s="7" t="s">
        <v>40</v>
      </c>
      <c r="K185" s="7" t="s">
        <v>80</v>
      </c>
      <c r="L185" s="7" t="s">
        <v>42</v>
      </c>
      <c r="M185" s="7" t="s">
        <v>43</v>
      </c>
      <c r="N185" s="9" t="s">
        <v>32</v>
      </c>
      <c r="O185" s="9" t="s">
        <v>99</v>
      </c>
      <c r="P185" s="9" t="s">
        <v>34</v>
      </c>
      <c r="Q185" s="10" t="str">
        <f>IF(IDMaster[[#This Row],[Consumption]]="Consumption",IDMaster[[#This Row],[Consumption]],IDMaster[[#This Row],[Basis]])</f>
        <v>Revenue</v>
      </c>
      <c r="R185" s="7" t="str">
        <f>IDMaster[[#This Row],[Supported Group]]&amp;"."&amp;IDMaster[[#This Row],[Basis]]</f>
        <v>Security.Revenue</v>
      </c>
      <c r="S185" s="11">
        <v>0.42185161428265983</v>
      </c>
      <c r="T185" s="12">
        <v>0.57814838571734017</v>
      </c>
      <c r="U185" s="12">
        <v>0</v>
      </c>
      <c r="V185" s="12">
        <v>0</v>
      </c>
      <c r="W185" s="12">
        <v>0</v>
      </c>
    </row>
    <row r="186" spans="1:23" x14ac:dyDescent="0.35">
      <c r="A186" s="7" t="s">
        <v>23</v>
      </c>
      <c r="B186" s="7" t="s">
        <v>581</v>
      </c>
      <c r="C186" s="7" t="s">
        <v>377</v>
      </c>
      <c r="D186" s="8">
        <v>320074</v>
      </c>
      <c r="E186" s="7" t="s">
        <v>95</v>
      </c>
      <c r="F186" s="7" t="s">
        <v>582</v>
      </c>
      <c r="G186" s="7" t="s">
        <v>97</v>
      </c>
      <c r="H186" s="7" t="s">
        <v>49</v>
      </c>
      <c r="I186" s="7" t="s">
        <v>28</v>
      </c>
      <c r="J186" s="7" t="s">
        <v>40</v>
      </c>
      <c r="K186" s="7" t="s">
        <v>80</v>
      </c>
      <c r="L186" s="7" t="s">
        <v>42</v>
      </c>
      <c r="M186" s="7" t="s">
        <v>43</v>
      </c>
      <c r="N186" s="9" t="s">
        <v>32</v>
      </c>
      <c r="O186" s="9" t="s">
        <v>99</v>
      </c>
      <c r="P186" s="9" t="s">
        <v>34</v>
      </c>
      <c r="Q186" s="10" t="str">
        <f>IF(IDMaster[[#This Row],[Consumption]]="Consumption",IDMaster[[#This Row],[Consumption]],IDMaster[[#This Row],[Basis]])</f>
        <v>Revenue</v>
      </c>
      <c r="R186" s="7" t="str">
        <f>IDMaster[[#This Row],[Supported Group]]&amp;"."&amp;IDMaster[[#This Row],[Basis]]</f>
        <v>Security.Revenue</v>
      </c>
      <c r="S186" s="11">
        <v>0.42185161428265983</v>
      </c>
      <c r="T186" s="12">
        <v>0.57814838571734017</v>
      </c>
      <c r="U186" s="12">
        <v>0</v>
      </c>
      <c r="V186" s="12">
        <v>0</v>
      </c>
      <c r="W186" s="12">
        <v>0</v>
      </c>
    </row>
    <row r="187" spans="1:23" x14ac:dyDescent="0.35">
      <c r="A187" s="7" t="s">
        <v>23</v>
      </c>
      <c r="B187" s="7" t="s">
        <v>583</v>
      </c>
      <c r="C187" s="7" t="s">
        <v>280</v>
      </c>
      <c r="D187" s="8">
        <v>365729</v>
      </c>
      <c r="E187" s="7" t="s">
        <v>584</v>
      </c>
      <c r="F187" s="7" t="s">
        <v>585</v>
      </c>
      <c r="G187" s="7" t="s">
        <v>103</v>
      </c>
      <c r="H187" s="7" t="s">
        <v>49</v>
      </c>
      <c r="I187" s="7" t="s">
        <v>28</v>
      </c>
      <c r="J187" s="7" t="s">
        <v>137</v>
      </c>
      <c r="K187" s="7" t="s">
        <v>63</v>
      </c>
      <c r="L187" s="7" t="s">
        <v>30</v>
      </c>
      <c r="M187" s="7" t="s">
        <v>43</v>
      </c>
      <c r="N187" s="9" t="s">
        <v>32</v>
      </c>
      <c r="O187" s="9" t="s">
        <v>67</v>
      </c>
      <c r="P187" s="9" t="s">
        <v>34</v>
      </c>
      <c r="Q187" s="10" t="str">
        <f>IF(IDMaster[[#This Row],[Consumption]]="Consumption",IDMaster[[#This Row],[Consumption]],IDMaster[[#This Row],[Basis]])</f>
        <v>Revenue</v>
      </c>
      <c r="R187" s="7" t="str">
        <f>IDMaster[[#This Row],[Supported Group]]&amp;"."&amp;IDMaster[[#This Row],[Basis]]</f>
        <v>IT Corporate.Revenue</v>
      </c>
      <c r="S187" s="11">
        <v>0.42185161428265983</v>
      </c>
      <c r="T187" s="12">
        <v>0.57814838571734017</v>
      </c>
      <c r="U187" s="12">
        <v>0</v>
      </c>
      <c r="V187" s="12">
        <v>0</v>
      </c>
      <c r="W187" s="12">
        <v>0</v>
      </c>
    </row>
    <row r="188" spans="1:23" x14ac:dyDescent="0.35">
      <c r="A188" s="7" t="s">
        <v>23</v>
      </c>
      <c r="B188" s="7" t="s">
        <v>586</v>
      </c>
      <c r="C188" s="7" t="s">
        <v>280</v>
      </c>
      <c r="D188" s="8">
        <v>365729</v>
      </c>
      <c r="E188" s="7" t="s">
        <v>584</v>
      </c>
      <c r="F188" s="7" t="s">
        <v>587</v>
      </c>
      <c r="G188" s="7" t="s">
        <v>103</v>
      </c>
      <c r="H188" s="7" t="s">
        <v>49</v>
      </c>
      <c r="I188" s="7" t="s">
        <v>28</v>
      </c>
      <c r="J188" s="7" t="s">
        <v>137</v>
      </c>
      <c r="K188" s="7" t="s">
        <v>63</v>
      </c>
      <c r="L188" s="7" t="s">
        <v>30</v>
      </c>
      <c r="M188" s="7" t="s">
        <v>43</v>
      </c>
      <c r="N188" s="9" t="s">
        <v>32</v>
      </c>
      <c r="O188" s="9" t="s">
        <v>67</v>
      </c>
      <c r="P188" s="9" t="s">
        <v>34</v>
      </c>
      <c r="Q188" s="10" t="str">
        <f>IF(IDMaster[[#This Row],[Consumption]]="Consumption",IDMaster[[#This Row],[Consumption]],IDMaster[[#This Row],[Basis]])</f>
        <v>Revenue</v>
      </c>
      <c r="R188" s="7" t="str">
        <f>IDMaster[[#This Row],[Supported Group]]&amp;"."&amp;IDMaster[[#This Row],[Basis]]</f>
        <v>IT Corporate.Revenue</v>
      </c>
      <c r="S188" s="11">
        <v>0.42185161428265983</v>
      </c>
      <c r="T188" s="12">
        <v>0.57814838571734017</v>
      </c>
      <c r="U188" s="12">
        <v>0</v>
      </c>
      <c r="V188" s="12">
        <v>0</v>
      </c>
      <c r="W188" s="12">
        <v>0</v>
      </c>
    </row>
    <row r="189" spans="1:23" x14ac:dyDescent="0.35">
      <c r="A189" s="7" t="s">
        <v>23</v>
      </c>
      <c r="B189" s="7" t="s">
        <v>588</v>
      </c>
      <c r="C189" s="7" t="s">
        <v>280</v>
      </c>
      <c r="D189" s="8">
        <v>365729</v>
      </c>
      <c r="E189" s="7" t="s">
        <v>584</v>
      </c>
      <c r="F189" s="7" t="s">
        <v>589</v>
      </c>
      <c r="G189" s="7" t="s">
        <v>103</v>
      </c>
      <c r="H189" s="7" t="s">
        <v>49</v>
      </c>
      <c r="I189" s="7" t="s">
        <v>28</v>
      </c>
      <c r="J189" s="7" t="s">
        <v>137</v>
      </c>
      <c r="K189" s="7" t="s">
        <v>63</v>
      </c>
      <c r="L189" s="7" t="s">
        <v>30</v>
      </c>
      <c r="M189" s="7" t="s">
        <v>43</v>
      </c>
      <c r="N189" s="9" t="s">
        <v>32</v>
      </c>
      <c r="O189" s="9" t="s">
        <v>67</v>
      </c>
      <c r="P189" s="9" t="s">
        <v>34</v>
      </c>
      <c r="Q189" s="10" t="str">
        <f>IF(IDMaster[[#This Row],[Consumption]]="Consumption",IDMaster[[#This Row],[Consumption]],IDMaster[[#This Row],[Basis]])</f>
        <v>Revenue</v>
      </c>
      <c r="R189" s="7" t="str">
        <f>IDMaster[[#This Row],[Supported Group]]&amp;"."&amp;IDMaster[[#This Row],[Basis]]</f>
        <v>IT Corporate.Revenue</v>
      </c>
      <c r="S189" s="11">
        <v>0.42185161428265983</v>
      </c>
      <c r="T189" s="12">
        <v>0.57814838571734017</v>
      </c>
      <c r="U189" s="12">
        <v>0</v>
      </c>
      <c r="V189" s="12">
        <v>0</v>
      </c>
      <c r="W189" s="12">
        <v>0</v>
      </c>
    </row>
    <row r="190" spans="1:23" x14ac:dyDescent="0.35">
      <c r="A190" s="7" t="s">
        <v>23</v>
      </c>
      <c r="B190" s="7" t="s">
        <v>590</v>
      </c>
      <c r="C190" s="7" t="s">
        <v>591</v>
      </c>
      <c r="D190" s="8">
        <v>446290</v>
      </c>
      <c r="E190" s="7" t="s">
        <v>592</v>
      </c>
      <c r="F190" s="7" t="s">
        <v>593</v>
      </c>
      <c r="G190" s="7" t="s">
        <v>103</v>
      </c>
      <c r="H190" s="7" t="s">
        <v>49</v>
      </c>
      <c r="I190" s="7" t="s">
        <v>28</v>
      </c>
      <c r="J190" s="7" t="s">
        <v>137</v>
      </c>
      <c r="K190" s="7" t="s">
        <v>63</v>
      </c>
      <c r="L190" s="7" t="s">
        <v>30</v>
      </c>
      <c r="M190" s="7" t="s">
        <v>43</v>
      </c>
      <c r="N190" s="9" t="s">
        <v>32</v>
      </c>
      <c r="O190" s="9" t="s">
        <v>33</v>
      </c>
      <c r="P190" s="9" t="s">
        <v>34</v>
      </c>
      <c r="Q190" s="10" t="str">
        <f>IF(IDMaster[[#This Row],[Consumption]]="Consumption",IDMaster[[#This Row],[Consumption]],IDMaster[[#This Row],[Basis]])</f>
        <v>Revenue</v>
      </c>
      <c r="R190" s="7" t="str">
        <f>IDMaster[[#This Row],[Supported Group]]&amp;"."&amp;IDMaster[[#This Row],[Basis]]</f>
        <v>IT Tools.Revenue</v>
      </c>
      <c r="S190" s="11">
        <v>0.42185161428265983</v>
      </c>
      <c r="T190" s="12">
        <v>0.57814838571734017</v>
      </c>
      <c r="U190" s="12">
        <v>0</v>
      </c>
      <c r="V190" s="12">
        <v>0</v>
      </c>
      <c r="W190" s="12">
        <v>0</v>
      </c>
    </row>
    <row r="191" spans="1:23" x14ac:dyDescent="0.35">
      <c r="A191" s="7" t="s">
        <v>23</v>
      </c>
      <c r="B191" s="7" t="s">
        <v>594</v>
      </c>
      <c r="C191" s="15" t="s">
        <v>181</v>
      </c>
      <c r="D191" s="8">
        <v>260532</v>
      </c>
      <c r="E191" s="7" t="s">
        <v>595</v>
      </c>
      <c r="F191" s="7" t="s">
        <v>596</v>
      </c>
      <c r="G191" s="7" t="s">
        <v>48</v>
      </c>
      <c r="H191" s="7" t="s">
        <v>49</v>
      </c>
      <c r="I191" s="7" t="s">
        <v>28</v>
      </c>
      <c r="J191" s="7" t="s">
        <v>40</v>
      </c>
      <c r="K191" s="7" t="s">
        <v>80</v>
      </c>
      <c r="L191" s="7" t="s">
        <v>42</v>
      </c>
      <c r="M191" s="7" t="s">
        <v>43</v>
      </c>
      <c r="N191" s="9" t="s">
        <v>32</v>
      </c>
      <c r="O191" s="9" t="s">
        <v>33</v>
      </c>
      <c r="P191" s="9" t="s">
        <v>34</v>
      </c>
      <c r="Q191" s="10" t="str">
        <f>IF(IDMaster[[#This Row],[Consumption]]="Consumption",IDMaster[[#This Row],[Consumption]],IDMaster[[#This Row],[Basis]])</f>
        <v>Revenue</v>
      </c>
      <c r="R191" s="7" t="str">
        <f>IDMaster[[#This Row],[Supported Group]]&amp;"."&amp;IDMaster[[#This Row],[Basis]]</f>
        <v>IT Tools.Revenue</v>
      </c>
      <c r="S191" s="11">
        <v>0.42185161428265983</v>
      </c>
      <c r="T191" s="12">
        <v>0.57814838571734017</v>
      </c>
      <c r="U191" s="12">
        <v>0</v>
      </c>
      <c r="V191" s="12">
        <v>0</v>
      </c>
      <c r="W191" s="12">
        <v>0</v>
      </c>
    </row>
    <row r="192" spans="1:23" x14ac:dyDescent="0.35">
      <c r="A192" s="7" t="s">
        <v>23</v>
      </c>
      <c r="B192" s="7" t="s">
        <v>597</v>
      </c>
      <c r="C192" s="7" t="s">
        <v>598</v>
      </c>
      <c r="D192" s="8">
        <v>196781</v>
      </c>
      <c r="E192" s="7" t="s">
        <v>312</v>
      </c>
      <c r="F192" s="7" t="s">
        <v>599</v>
      </c>
      <c r="G192" s="7" t="s">
        <v>48</v>
      </c>
      <c r="H192" s="7" t="s">
        <v>27</v>
      </c>
      <c r="I192" s="7" t="s">
        <v>28</v>
      </c>
      <c r="J192" s="7" t="s">
        <v>40</v>
      </c>
      <c r="K192" s="7" t="s">
        <v>80</v>
      </c>
      <c r="L192" s="7" t="s">
        <v>42</v>
      </c>
      <c r="M192" s="7" t="s">
        <v>43</v>
      </c>
      <c r="N192" s="9" t="s">
        <v>92</v>
      </c>
      <c r="O192" s="9" t="s">
        <v>67</v>
      </c>
      <c r="P192" s="9" t="s">
        <v>34</v>
      </c>
      <c r="Q192" s="10" t="str">
        <f>IF(IDMaster[[#This Row],[Consumption]]="Consumption",IDMaster[[#This Row],[Consumption]],IDMaster[[#This Row],[Basis]])</f>
        <v>Total Headcount</v>
      </c>
      <c r="R192" s="7" t="str">
        <f>IDMaster[[#This Row],[Supported Group]]&amp;"."&amp;IDMaster[[#This Row],[Basis]]</f>
        <v>IT Corporate.Total Headcount</v>
      </c>
      <c r="S192" s="11">
        <v>0.69106036166058238</v>
      </c>
      <c r="T192" s="12">
        <v>0.14347567705238135</v>
      </c>
      <c r="U192" s="12">
        <v>0</v>
      </c>
      <c r="V192" s="12">
        <v>0</v>
      </c>
      <c r="W192" s="12">
        <v>0.16546396128703625</v>
      </c>
    </row>
    <row r="193" spans="1:23" x14ac:dyDescent="0.35">
      <c r="A193" s="7" t="s">
        <v>23</v>
      </c>
      <c r="B193" s="7" t="s">
        <v>600</v>
      </c>
      <c r="C193" s="15" t="s">
        <v>601</v>
      </c>
      <c r="D193" s="8">
        <v>444159</v>
      </c>
      <c r="E193" s="7" t="s">
        <v>270</v>
      </c>
      <c r="F193" s="7" t="s">
        <v>602</v>
      </c>
      <c r="G193" s="7" t="s">
        <v>152</v>
      </c>
      <c r="H193" s="7" t="s">
        <v>49</v>
      </c>
      <c r="I193" s="7" t="s">
        <v>28</v>
      </c>
      <c r="J193" s="7" t="s">
        <v>40</v>
      </c>
      <c r="K193" s="7" t="s">
        <v>80</v>
      </c>
      <c r="L193" s="7" t="s">
        <v>42</v>
      </c>
      <c r="M193" s="7" t="s">
        <v>43</v>
      </c>
      <c r="N193" s="9" t="s">
        <v>32</v>
      </c>
      <c r="O193" s="9" t="s">
        <v>33</v>
      </c>
      <c r="P193" s="9" t="s">
        <v>34</v>
      </c>
      <c r="Q193" s="10" t="str">
        <f>IF(IDMaster[[#This Row],[Consumption]]="Consumption",IDMaster[[#This Row],[Consumption]],IDMaster[[#This Row],[Basis]])</f>
        <v>Revenue</v>
      </c>
      <c r="R193" s="7" t="str">
        <f>IDMaster[[#This Row],[Supported Group]]&amp;"."&amp;IDMaster[[#This Row],[Basis]]</f>
        <v>IT Tools.Revenue</v>
      </c>
      <c r="S193" s="11">
        <v>0.42185161428265983</v>
      </c>
      <c r="T193" s="12">
        <v>0.57814838571734017</v>
      </c>
      <c r="U193" s="12">
        <v>0</v>
      </c>
      <c r="V193" s="12">
        <v>0</v>
      </c>
      <c r="W193" s="12">
        <v>0</v>
      </c>
    </row>
    <row r="194" spans="1:23" x14ac:dyDescent="0.35">
      <c r="A194" s="7" t="s">
        <v>23</v>
      </c>
      <c r="B194" s="7" t="s">
        <v>603</v>
      </c>
      <c r="C194" s="7" t="s">
        <v>280</v>
      </c>
      <c r="D194" s="8">
        <v>365729</v>
      </c>
      <c r="E194" s="7" t="s">
        <v>604</v>
      </c>
      <c r="F194" s="7" t="s">
        <v>605</v>
      </c>
      <c r="G194" s="7" t="s">
        <v>148</v>
      </c>
      <c r="H194" s="7" t="s">
        <v>27</v>
      </c>
      <c r="I194" s="7" t="s">
        <v>28</v>
      </c>
      <c r="J194" s="7" t="s">
        <v>137</v>
      </c>
      <c r="K194" s="7" t="s">
        <v>63</v>
      </c>
      <c r="L194" s="7" t="s">
        <v>30</v>
      </c>
      <c r="M194" s="7" t="s">
        <v>43</v>
      </c>
      <c r="N194" s="9" t="s">
        <v>32</v>
      </c>
      <c r="O194" s="9" t="s">
        <v>67</v>
      </c>
      <c r="P194" s="9" t="s">
        <v>34</v>
      </c>
      <c r="Q194" s="10" t="str">
        <f>IF(IDMaster[[#This Row],[Consumption]]="Consumption",IDMaster[[#This Row],[Consumption]],IDMaster[[#This Row],[Basis]])</f>
        <v>Revenue</v>
      </c>
      <c r="R194" s="7" t="str">
        <f>IDMaster[[#This Row],[Supported Group]]&amp;"."&amp;IDMaster[[#This Row],[Basis]]</f>
        <v>IT Corporate.Revenue</v>
      </c>
      <c r="S194" s="11">
        <v>0.42185161428265983</v>
      </c>
      <c r="T194" s="12">
        <v>0.57814838571734017</v>
      </c>
      <c r="U194" s="12">
        <v>0</v>
      </c>
      <c r="V194" s="12">
        <v>0</v>
      </c>
      <c r="W194" s="12">
        <v>0</v>
      </c>
    </row>
    <row r="195" spans="1:23" x14ac:dyDescent="0.35">
      <c r="A195" s="7" t="s">
        <v>23</v>
      </c>
      <c r="B195" s="7" t="s">
        <v>606</v>
      </c>
      <c r="C195" s="15" t="s">
        <v>181</v>
      </c>
      <c r="D195" s="8">
        <v>260532</v>
      </c>
      <c r="E195" s="7" t="s">
        <v>595</v>
      </c>
      <c r="F195" s="7" t="s">
        <v>607</v>
      </c>
      <c r="G195" s="7" t="s">
        <v>48</v>
      </c>
      <c r="H195" s="7" t="s">
        <v>49</v>
      </c>
      <c r="I195" s="7" t="s">
        <v>28</v>
      </c>
      <c r="J195" s="7" t="s">
        <v>40</v>
      </c>
      <c r="K195" s="7" t="s">
        <v>80</v>
      </c>
      <c r="L195" s="7" t="s">
        <v>42</v>
      </c>
      <c r="M195" s="7" t="s">
        <v>43</v>
      </c>
      <c r="N195" s="9" t="s">
        <v>32</v>
      </c>
      <c r="O195" s="9" t="s">
        <v>608</v>
      </c>
      <c r="P195" s="9" t="s">
        <v>34</v>
      </c>
      <c r="Q195" s="10" t="str">
        <f>IF(IDMaster[[#This Row],[Consumption]]="Consumption",IDMaster[[#This Row],[Consumption]],IDMaster[[#This Row],[Basis]])</f>
        <v>Revenue</v>
      </c>
      <c r="R195" s="7" t="str">
        <f>IDMaster[[#This Row],[Supported Group]]&amp;"."&amp;IDMaster[[#This Row],[Basis]]</f>
        <v>Store Operations.Revenue</v>
      </c>
      <c r="S195" s="11">
        <v>0.42185161428265983</v>
      </c>
      <c r="T195" s="12">
        <v>0.57814838571734017</v>
      </c>
      <c r="U195" s="12">
        <v>0</v>
      </c>
      <c r="V195" s="12">
        <v>0</v>
      </c>
      <c r="W195" s="12">
        <v>0</v>
      </c>
    </row>
    <row r="196" spans="1:23" x14ac:dyDescent="0.35">
      <c r="A196" s="7" t="s">
        <v>23</v>
      </c>
      <c r="B196" s="7" t="s">
        <v>609</v>
      </c>
      <c r="C196" s="7" t="s">
        <v>610</v>
      </c>
      <c r="D196" s="8">
        <v>317652</v>
      </c>
      <c r="E196" s="7" t="s">
        <v>451</v>
      </c>
      <c r="F196" s="7" t="s">
        <v>611</v>
      </c>
      <c r="G196" s="7" t="s">
        <v>72</v>
      </c>
      <c r="H196" s="7" t="s">
        <v>49</v>
      </c>
      <c r="I196" s="7" t="s">
        <v>123</v>
      </c>
      <c r="J196" s="7" t="s">
        <v>40</v>
      </c>
      <c r="K196" s="7" t="s">
        <v>41</v>
      </c>
      <c r="L196" s="7" t="s">
        <v>42</v>
      </c>
      <c r="M196" s="7" t="s">
        <v>43</v>
      </c>
      <c r="N196" s="9" t="s">
        <v>446</v>
      </c>
      <c r="O196" s="9" t="s">
        <v>447</v>
      </c>
      <c r="P196" s="9" t="s">
        <v>34</v>
      </c>
      <c r="Q196" s="10" t="str">
        <f>IF(IDMaster[[#This Row],[Consumption]]="Consumption",IDMaster[[#This Row],[Consumption]],IDMaster[[#This Row],[Basis]])</f>
        <v>Acima Direct</v>
      </c>
      <c r="R196" s="7" t="str">
        <f>IDMaster[[#This Row],[Supported Group]]&amp;"."&amp;IDMaster[[#This Row],[Basis]]</f>
        <v>Acima.Acima Direct</v>
      </c>
      <c r="S196" s="11">
        <v>0</v>
      </c>
      <c r="T196" s="12">
        <v>1</v>
      </c>
      <c r="U196" s="12">
        <v>0</v>
      </c>
      <c r="V196" s="12">
        <v>0</v>
      </c>
      <c r="W196" s="12">
        <v>0</v>
      </c>
    </row>
    <row r="197" spans="1:23" x14ac:dyDescent="0.35">
      <c r="A197" s="7" t="s">
        <v>23</v>
      </c>
      <c r="B197" s="7" t="s">
        <v>612</v>
      </c>
      <c r="C197" s="7" t="s">
        <v>598</v>
      </c>
      <c r="D197" s="8">
        <v>196781</v>
      </c>
      <c r="E197" s="7" t="s">
        <v>227</v>
      </c>
      <c r="F197" s="7" t="s">
        <v>613</v>
      </c>
      <c r="G197" s="7" t="s">
        <v>48</v>
      </c>
      <c r="H197" s="7" t="s">
        <v>49</v>
      </c>
      <c r="I197" s="7" t="s">
        <v>28</v>
      </c>
      <c r="J197" s="7" t="s">
        <v>40</v>
      </c>
      <c r="K197" s="7" t="s">
        <v>80</v>
      </c>
      <c r="L197" s="7" t="s">
        <v>42</v>
      </c>
      <c r="M197" s="7" t="s">
        <v>43</v>
      </c>
      <c r="N197" s="9" t="s">
        <v>92</v>
      </c>
      <c r="O197" s="9" t="s">
        <v>51</v>
      </c>
      <c r="P197" s="9" t="s">
        <v>34</v>
      </c>
      <c r="Q197" s="10" t="str">
        <f>IF(IDMaster[[#This Row],[Consumption]]="Consumption",IDMaster[[#This Row],[Consumption]],IDMaster[[#This Row],[Basis]])</f>
        <v>Total Headcount</v>
      </c>
      <c r="R197" s="7" t="str">
        <f>IDMaster[[#This Row],[Supported Group]]&amp;"."&amp;IDMaster[[#This Row],[Basis]]</f>
        <v>IT Infrastructure.Total Headcount</v>
      </c>
      <c r="S197" s="11">
        <v>0.69106036166058238</v>
      </c>
      <c r="T197" s="12">
        <v>0.14347567705238135</v>
      </c>
      <c r="U197" s="12">
        <v>0</v>
      </c>
      <c r="V197" s="12">
        <v>0</v>
      </c>
      <c r="W197" s="12">
        <v>0.16546396128703625</v>
      </c>
    </row>
    <row r="198" spans="1:23" x14ac:dyDescent="0.35">
      <c r="A198" s="7" t="s">
        <v>23</v>
      </c>
      <c r="B198" s="7" t="s">
        <v>614</v>
      </c>
      <c r="C198" s="7" t="s">
        <v>615</v>
      </c>
      <c r="D198" s="8">
        <v>218695</v>
      </c>
      <c r="E198" s="7" t="s">
        <v>95</v>
      </c>
      <c r="F198" s="7" t="s">
        <v>616</v>
      </c>
      <c r="G198" s="7" t="s">
        <v>97</v>
      </c>
      <c r="H198" s="7" t="s">
        <v>49</v>
      </c>
      <c r="I198" s="7" t="s">
        <v>28</v>
      </c>
      <c r="J198" s="7" t="s">
        <v>137</v>
      </c>
      <c r="K198" s="7" t="s">
        <v>63</v>
      </c>
      <c r="L198" s="7" t="s">
        <v>30</v>
      </c>
      <c r="M198" s="7" t="s">
        <v>43</v>
      </c>
      <c r="N198" s="9" t="s">
        <v>32</v>
      </c>
      <c r="O198" s="9" t="s">
        <v>99</v>
      </c>
      <c r="P198" s="9" t="s">
        <v>34</v>
      </c>
      <c r="Q198" s="10" t="str">
        <f>IF(IDMaster[[#This Row],[Consumption]]="Consumption",IDMaster[[#This Row],[Consumption]],IDMaster[[#This Row],[Basis]])</f>
        <v>Revenue</v>
      </c>
      <c r="R198" s="7" t="str">
        <f>IDMaster[[#This Row],[Supported Group]]&amp;"."&amp;IDMaster[[#This Row],[Basis]]</f>
        <v>Security.Revenue</v>
      </c>
      <c r="S198" s="11">
        <v>0.42185161428265983</v>
      </c>
      <c r="T198" s="12">
        <v>0.57814838571734017</v>
      </c>
      <c r="U198" s="12">
        <v>0</v>
      </c>
      <c r="V198" s="12">
        <v>0</v>
      </c>
      <c r="W198" s="12">
        <v>0</v>
      </c>
    </row>
    <row r="199" spans="1:23" x14ac:dyDescent="0.35">
      <c r="A199" s="7" t="s">
        <v>23</v>
      </c>
      <c r="B199" s="7" t="s">
        <v>617</v>
      </c>
      <c r="C199" s="7" t="s">
        <v>25</v>
      </c>
      <c r="D199" s="8"/>
      <c r="E199" s="7" t="s">
        <v>53</v>
      </c>
      <c r="F199" s="7" t="s">
        <v>618</v>
      </c>
      <c r="G199" s="7" t="s">
        <v>97</v>
      </c>
      <c r="H199" s="7" t="s">
        <v>49</v>
      </c>
      <c r="I199" s="7" t="s">
        <v>28</v>
      </c>
      <c r="J199" s="7" t="s">
        <v>137</v>
      </c>
      <c r="K199" s="7" t="s">
        <v>63</v>
      </c>
      <c r="L199" s="7" t="s">
        <v>30</v>
      </c>
      <c r="M199" s="7" t="s">
        <v>43</v>
      </c>
      <c r="N199" s="9" t="s">
        <v>92</v>
      </c>
      <c r="O199" s="9" t="s">
        <v>67</v>
      </c>
      <c r="P199" s="9" t="s">
        <v>34</v>
      </c>
      <c r="Q199" s="10" t="str">
        <f>IF(IDMaster[[#This Row],[Consumption]]="Consumption",IDMaster[[#This Row],[Consumption]],IDMaster[[#This Row],[Basis]])</f>
        <v>Total Headcount</v>
      </c>
      <c r="R199" s="7" t="str">
        <f>IDMaster[[#This Row],[Supported Group]]&amp;"."&amp;IDMaster[[#This Row],[Basis]]</f>
        <v>IT Corporate.Total Headcount</v>
      </c>
      <c r="S199" s="11">
        <v>0.69106036166058238</v>
      </c>
      <c r="T199" s="12">
        <v>0.14347567705238135</v>
      </c>
      <c r="U199" s="12">
        <v>0</v>
      </c>
      <c r="V199" s="12">
        <v>0</v>
      </c>
      <c r="W199" s="12">
        <v>0.16546396128703625</v>
      </c>
    </row>
    <row r="200" spans="1:23" x14ac:dyDescent="0.35">
      <c r="A200" s="7" t="s">
        <v>23</v>
      </c>
      <c r="B200" s="7" t="s">
        <v>619</v>
      </c>
      <c r="C200" s="7" t="s">
        <v>620</v>
      </c>
      <c r="D200" s="8">
        <v>369580</v>
      </c>
      <c r="E200" s="7" t="s">
        <v>451</v>
      </c>
      <c r="F200" s="7" t="s">
        <v>621</v>
      </c>
      <c r="G200" s="7" t="s">
        <v>72</v>
      </c>
      <c r="H200" s="7" t="s">
        <v>49</v>
      </c>
      <c r="I200" s="7" t="s">
        <v>28</v>
      </c>
      <c r="J200" s="7" t="s">
        <v>40</v>
      </c>
      <c r="K200" s="7" t="s">
        <v>41</v>
      </c>
      <c r="L200" s="7" t="s">
        <v>42</v>
      </c>
      <c r="M200" s="7" t="s">
        <v>43</v>
      </c>
      <c r="N200" s="9" t="s">
        <v>92</v>
      </c>
      <c r="O200" s="9" t="s">
        <v>44</v>
      </c>
      <c r="P200" s="9" t="s">
        <v>34</v>
      </c>
      <c r="Q200" s="10" t="str">
        <f>IF(IDMaster[[#This Row],[Consumption]]="Consumption",IDMaster[[#This Row],[Consumption]],IDMaster[[#This Row],[Basis]])</f>
        <v>Total Headcount</v>
      </c>
      <c r="R200" s="7" t="str">
        <f>IDMaster[[#This Row],[Supported Group]]&amp;"."&amp;IDMaster[[#This Row],[Basis]]</f>
        <v>Corporate.Total Headcount</v>
      </c>
      <c r="S200" s="11">
        <v>0.69106036166058238</v>
      </c>
      <c r="T200" s="12">
        <v>0.14347567705238135</v>
      </c>
      <c r="U200" s="12">
        <v>0</v>
      </c>
      <c r="V200" s="12">
        <v>0</v>
      </c>
      <c r="W200" s="12">
        <v>0.16546396128703625</v>
      </c>
    </row>
    <row r="201" spans="1:23" x14ac:dyDescent="0.35">
      <c r="A201" s="7" t="s">
        <v>23</v>
      </c>
      <c r="B201" s="7" t="s">
        <v>622</v>
      </c>
      <c r="C201" s="7" t="s">
        <v>623</v>
      </c>
      <c r="D201" s="8"/>
      <c r="E201" s="7" t="s">
        <v>265</v>
      </c>
      <c r="F201" s="7" t="s">
        <v>624</v>
      </c>
      <c r="G201" s="7" t="s">
        <v>48</v>
      </c>
      <c r="H201" s="7" t="s">
        <v>49</v>
      </c>
      <c r="I201" s="7" t="s">
        <v>123</v>
      </c>
      <c r="J201" s="7" t="s">
        <v>625</v>
      </c>
      <c r="K201" s="7" t="s">
        <v>626</v>
      </c>
      <c r="L201" s="7" t="s">
        <v>627</v>
      </c>
      <c r="M201" s="7" t="s">
        <v>43</v>
      </c>
      <c r="N201" s="9" t="s">
        <v>126</v>
      </c>
      <c r="O201" s="9" t="s">
        <v>538</v>
      </c>
      <c r="P201" s="9" t="s">
        <v>34</v>
      </c>
      <c r="Q201" s="10" t="str">
        <f>IF(IDMaster[[#This Row],[Consumption]]="Consumption",IDMaster[[#This Row],[Consumption]],IDMaster[[#This Row],[Basis]])</f>
        <v>RAC Direct</v>
      </c>
      <c r="R201" s="7" t="str">
        <f>IDMaster[[#This Row],[Supported Group]]&amp;"."&amp;IDMaster[[#This Row],[Basis]]</f>
        <v>RAC.RAC Direct</v>
      </c>
      <c r="S201" s="11">
        <v>1</v>
      </c>
      <c r="T201" s="12">
        <v>0</v>
      </c>
      <c r="U201" s="12">
        <v>0</v>
      </c>
      <c r="V201" s="12">
        <v>0</v>
      </c>
      <c r="W201" s="12">
        <v>0</v>
      </c>
    </row>
    <row r="202" spans="1:23" x14ac:dyDescent="0.35">
      <c r="A202" s="7" t="s">
        <v>23</v>
      </c>
      <c r="B202" s="7" t="s">
        <v>628</v>
      </c>
      <c r="C202" s="7" t="s">
        <v>25</v>
      </c>
      <c r="D202" s="8"/>
      <c r="E202" s="7" t="s">
        <v>150</v>
      </c>
      <c r="F202" s="7" t="s">
        <v>629</v>
      </c>
      <c r="G202" s="7" t="s">
        <v>152</v>
      </c>
      <c r="H202" s="7" t="s">
        <v>49</v>
      </c>
      <c r="I202" s="7" t="s">
        <v>28</v>
      </c>
      <c r="J202" s="7" t="s">
        <v>348</v>
      </c>
      <c r="K202" s="7" t="s">
        <v>630</v>
      </c>
      <c r="L202" s="7" t="s">
        <v>631</v>
      </c>
      <c r="M202" s="7" t="s">
        <v>629</v>
      </c>
      <c r="N202" s="9" t="s">
        <v>92</v>
      </c>
      <c r="O202" s="9" t="s">
        <v>67</v>
      </c>
      <c r="P202" s="9" t="s">
        <v>34</v>
      </c>
      <c r="Q202" s="10" t="str">
        <f>IF(IDMaster[[#This Row],[Consumption]]="Consumption",IDMaster[[#This Row],[Consumption]],IDMaster[[#This Row],[Basis]])</f>
        <v>Total Headcount</v>
      </c>
      <c r="R202" s="7" t="str">
        <f>IDMaster[[#This Row],[Supported Group]]&amp;"."&amp;IDMaster[[#This Row],[Basis]]</f>
        <v>IT Corporate.Total Headcount</v>
      </c>
      <c r="S202" s="11">
        <v>0.69106036166058238</v>
      </c>
      <c r="T202" s="12">
        <v>0.14347567705238135</v>
      </c>
      <c r="U202" s="12">
        <v>0</v>
      </c>
      <c r="V202" s="12">
        <v>0</v>
      </c>
      <c r="W202" s="12">
        <v>0.16546396128703625</v>
      </c>
    </row>
    <row r="203" spans="1:23" x14ac:dyDescent="0.35">
      <c r="A203" s="7" t="s">
        <v>23</v>
      </c>
      <c r="B203" s="7" t="s">
        <v>632</v>
      </c>
      <c r="C203" s="7" t="s">
        <v>25</v>
      </c>
      <c r="D203" s="8"/>
      <c r="E203" s="7" t="s">
        <v>25</v>
      </c>
      <c r="F203" s="7" t="s">
        <v>629</v>
      </c>
      <c r="G203" s="7" t="s">
        <v>25</v>
      </c>
      <c r="H203" s="7" t="s">
        <v>49</v>
      </c>
      <c r="I203" s="7" t="s">
        <v>28</v>
      </c>
      <c r="J203" s="7" t="s">
        <v>348</v>
      </c>
      <c r="K203" s="7" t="s">
        <v>630</v>
      </c>
      <c r="L203" s="7" t="s">
        <v>631</v>
      </c>
      <c r="M203" s="7" t="s">
        <v>629</v>
      </c>
      <c r="N203" s="9" t="s">
        <v>92</v>
      </c>
      <c r="O203" s="9" t="s">
        <v>67</v>
      </c>
      <c r="P203" s="9" t="s">
        <v>34</v>
      </c>
      <c r="Q203" s="10" t="str">
        <f>IF(IDMaster[[#This Row],[Consumption]]="Consumption",IDMaster[[#This Row],[Consumption]],IDMaster[[#This Row],[Basis]])</f>
        <v>Total Headcount</v>
      </c>
      <c r="R203" s="7" t="str">
        <f>IDMaster[[#This Row],[Supported Group]]&amp;"."&amp;IDMaster[[#This Row],[Basis]]</f>
        <v>IT Corporate.Total Headcount</v>
      </c>
      <c r="S203" s="11">
        <v>0.69106036166058238</v>
      </c>
      <c r="T203" s="12">
        <v>0.14347567705238135</v>
      </c>
      <c r="U203" s="12">
        <v>0</v>
      </c>
      <c r="V203" s="12">
        <v>0</v>
      </c>
      <c r="W203" s="12">
        <v>0.16546396128703625</v>
      </c>
    </row>
    <row r="204" spans="1:23" x14ac:dyDescent="0.35">
      <c r="A204" s="7" t="s">
        <v>23</v>
      </c>
      <c r="B204" s="7" t="s">
        <v>633</v>
      </c>
      <c r="C204" s="15" t="s">
        <v>598</v>
      </c>
      <c r="D204" s="8">
        <v>196781</v>
      </c>
      <c r="E204" s="7" t="s">
        <v>559</v>
      </c>
      <c r="F204" s="7" t="s">
        <v>634</v>
      </c>
      <c r="G204" s="7" t="s">
        <v>48</v>
      </c>
      <c r="H204" s="7" t="s">
        <v>27</v>
      </c>
      <c r="I204" s="7" t="s">
        <v>28</v>
      </c>
      <c r="J204" s="7" t="s">
        <v>40</v>
      </c>
      <c r="K204" s="7" t="s">
        <v>80</v>
      </c>
      <c r="L204" s="7" t="s">
        <v>42</v>
      </c>
      <c r="M204" s="7" t="s">
        <v>635</v>
      </c>
      <c r="N204" s="9" t="s">
        <v>92</v>
      </c>
      <c r="O204" s="9" t="s">
        <v>33</v>
      </c>
      <c r="P204" s="9" t="s">
        <v>34</v>
      </c>
      <c r="Q204" s="10" t="str">
        <f>IF(IDMaster[[#This Row],[Consumption]]="Consumption",IDMaster[[#This Row],[Consumption]],IDMaster[[#This Row],[Basis]])</f>
        <v>Total Headcount</v>
      </c>
      <c r="R204" s="7" t="str">
        <f>IDMaster[[#This Row],[Supported Group]]&amp;"."&amp;IDMaster[[#This Row],[Basis]]</f>
        <v>IT Tools.Total Headcount</v>
      </c>
      <c r="S204" s="11">
        <v>0.69106036166058238</v>
      </c>
      <c r="T204" s="12">
        <v>0.14347567705238135</v>
      </c>
      <c r="U204" s="12">
        <v>0</v>
      </c>
      <c r="V204" s="12">
        <v>0</v>
      </c>
      <c r="W204" s="12">
        <v>0.16546396128703625</v>
      </c>
    </row>
    <row r="205" spans="1:23" x14ac:dyDescent="0.35">
      <c r="A205" s="7" t="s">
        <v>23</v>
      </c>
      <c r="B205" s="7" t="s">
        <v>636</v>
      </c>
      <c r="C205" s="7" t="s">
        <v>450</v>
      </c>
      <c r="D205" s="8"/>
      <c r="E205" s="7" t="s">
        <v>584</v>
      </c>
      <c r="F205" s="7" t="s">
        <v>637</v>
      </c>
      <c r="G205" s="7" t="s">
        <v>72</v>
      </c>
      <c r="H205" s="7" t="s">
        <v>49</v>
      </c>
      <c r="I205" s="7" t="s">
        <v>28</v>
      </c>
      <c r="J205" s="7" t="s">
        <v>40</v>
      </c>
      <c r="K205" s="7" t="s">
        <v>41</v>
      </c>
      <c r="L205" s="7" t="s">
        <v>42</v>
      </c>
      <c r="M205" s="7" t="s">
        <v>43</v>
      </c>
      <c r="N205" s="9" t="s">
        <v>32</v>
      </c>
      <c r="O205" s="9" t="s">
        <v>33</v>
      </c>
      <c r="P205" s="9" t="s">
        <v>34</v>
      </c>
      <c r="Q205" s="10" t="str">
        <f>IF(IDMaster[[#This Row],[Consumption]]="Consumption",IDMaster[[#This Row],[Consumption]],IDMaster[[#This Row],[Basis]])</f>
        <v>Revenue</v>
      </c>
      <c r="R205" s="7" t="str">
        <f>IDMaster[[#This Row],[Supported Group]]&amp;"."&amp;IDMaster[[#This Row],[Basis]]</f>
        <v>IT Tools.Revenue</v>
      </c>
      <c r="S205" s="11">
        <v>0.42185161428265983</v>
      </c>
      <c r="T205" s="12">
        <v>0.57814838571734017</v>
      </c>
      <c r="U205" s="12">
        <v>0</v>
      </c>
      <c r="V205" s="12">
        <v>0</v>
      </c>
      <c r="W205" s="12">
        <v>0</v>
      </c>
    </row>
    <row r="206" spans="1:23" x14ac:dyDescent="0.35">
      <c r="A206" s="7" t="s">
        <v>23</v>
      </c>
      <c r="B206" s="7" t="s">
        <v>638</v>
      </c>
      <c r="C206" s="15" t="s">
        <v>639</v>
      </c>
      <c r="D206" s="8" t="s">
        <v>640</v>
      </c>
      <c r="E206" s="7" t="s">
        <v>559</v>
      </c>
      <c r="F206" s="7" t="s">
        <v>641</v>
      </c>
      <c r="G206" s="7" t="s">
        <v>48</v>
      </c>
      <c r="H206" s="7" t="s">
        <v>27</v>
      </c>
      <c r="I206" s="7" t="s">
        <v>28</v>
      </c>
      <c r="J206" s="7" t="s">
        <v>40</v>
      </c>
      <c r="K206" s="7" t="s">
        <v>80</v>
      </c>
      <c r="L206" s="7" t="s">
        <v>42</v>
      </c>
      <c r="M206" s="7" t="s">
        <v>642</v>
      </c>
      <c r="N206" s="9" t="s">
        <v>32</v>
      </c>
      <c r="O206" s="9" t="s">
        <v>608</v>
      </c>
      <c r="P206" s="9" t="s">
        <v>34</v>
      </c>
      <c r="Q206" s="10" t="str">
        <f>IF(IDMaster[[#This Row],[Consumption]]="Consumption",IDMaster[[#This Row],[Consumption]],IDMaster[[#This Row],[Basis]])</f>
        <v>Revenue</v>
      </c>
      <c r="R206" s="7" t="str">
        <f>IDMaster[[#This Row],[Supported Group]]&amp;"."&amp;IDMaster[[#This Row],[Basis]]</f>
        <v>Store Operations.Revenue</v>
      </c>
      <c r="S206" s="11">
        <v>0.42185161428265983</v>
      </c>
      <c r="T206" s="12">
        <v>0.57814838571734017</v>
      </c>
      <c r="U206" s="12">
        <v>0</v>
      </c>
      <c r="V206" s="12">
        <v>0</v>
      </c>
      <c r="W206" s="12">
        <v>0</v>
      </c>
    </row>
    <row r="207" spans="1:23" x14ac:dyDescent="0.35">
      <c r="A207" s="7" t="s">
        <v>23</v>
      </c>
      <c r="B207" s="7" t="s">
        <v>643</v>
      </c>
      <c r="C207" s="15" t="s">
        <v>644</v>
      </c>
      <c r="D207" s="8">
        <v>448904</v>
      </c>
      <c r="E207" s="7" t="s">
        <v>405</v>
      </c>
      <c r="F207" s="7" t="s">
        <v>645</v>
      </c>
      <c r="G207" s="7" t="s">
        <v>72</v>
      </c>
      <c r="H207" s="7" t="s">
        <v>49</v>
      </c>
      <c r="I207" s="7" t="s">
        <v>28</v>
      </c>
      <c r="J207" s="7" t="s">
        <v>40</v>
      </c>
      <c r="K207" s="7" t="s">
        <v>80</v>
      </c>
      <c r="L207" s="7" t="s">
        <v>42</v>
      </c>
      <c r="M207" s="7" t="s">
        <v>43</v>
      </c>
      <c r="N207" s="9" t="s">
        <v>32</v>
      </c>
      <c r="O207" s="9" t="s">
        <v>407</v>
      </c>
      <c r="P207" s="9" t="s">
        <v>34</v>
      </c>
      <c r="Q207" s="10" t="str">
        <f>IF(IDMaster[[#This Row],[Consumption]]="Consumption",IDMaster[[#This Row],[Consumption]],IDMaster[[#This Row],[Basis]])</f>
        <v>Revenue</v>
      </c>
      <c r="R207" s="7" t="str">
        <f>IDMaster[[#This Row],[Supported Group]]&amp;"."&amp;IDMaster[[#This Row],[Basis]]</f>
        <v>IT Dev Tools.Revenue</v>
      </c>
      <c r="S207" s="11">
        <v>0.42185161428265983</v>
      </c>
      <c r="T207" s="12">
        <v>0.57814838571734017</v>
      </c>
      <c r="U207" s="12">
        <v>0</v>
      </c>
      <c r="V207" s="12">
        <v>0</v>
      </c>
      <c r="W207" s="12">
        <v>0</v>
      </c>
    </row>
    <row r="208" spans="1:23" x14ac:dyDescent="0.35">
      <c r="A208" s="7" t="s">
        <v>23</v>
      </c>
      <c r="B208" s="7" t="s">
        <v>646</v>
      </c>
      <c r="C208" s="7" t="s">
        <v>169</v>
      </c>
      <c r="D208" s="8"/>
      <c r="E208" s="7" t="s">
        <v>405</v>
      </c>
      <c r="F208" s="7" t="s">
        <v>647</v>
      </c>
      <c r="G208" s="7" t="s">
        <v>72</v>
      </c>
      <c r="H208" s="7" t="s">
        <v>49</v>
      </c>
      <c r="I208" s="7" t="s">
        <v>28</v>
      </c>
      <c r="J208" s="7" t="s">
        <v>40</v>
      </c>
      <c r="K208" s="7" t="s">
        <v>41</v>
      </c>
      <c r="L208" s="7" t="s">
        <v>42</v>
      </c>
      <c r="M208" s="7" t="s">
        <v>43</v>
      </c>
      <c r="N208" s="9" t="s">
        <v>32</v>
      </c>
      <c r="O208" s="9" t="s">
        <v>407</v>
      </c>
      <c r="P208" s="9" t="s">
        <v>34</v>
      </c>
      <c r="Q208" s="10" t="str">
        <f>IF(IDMaster[[#This Row],[Consumption]]="Consumption",IDMaster[[#This Row],[Consumption]],IDMaster[[#This Row],[Basis]])</f>
        <v>Revenue</v>
      </c>
      <c r="R208" s="7" t="str">
        <f>IDMaster[[#This Row],[Supported Group]]&amp;"."&amp;IDMaster[[#This Row],[Basis]]</f>
        <v>IT Dev Tools.Revenue</v>
      </c>
      <c r="S208" s="11">
        <v>0.42185161428265983</v>
      </c>
      <c r="T208" s="12">
        <v>0.57814838571734017</v>
      </c>
      <c r="U208" s="12">
        <v>0</v>
      </c>
      <c r="V208" s="12">
        <v>0</v>
      </c>
      <c r="W208" s="12">
        <v>0</v>
      </c>
    </row>
    <row r="209" spans="1:23" x14ac:dyDescent="0.35">
      <c r="A209" s="7" t="s">
        <v>23</v>
      </c>
      <c r="B209" s="7" t="s">
        <v>648</v>
      </c>
      <c r="C209" s="7" t="s">
        <v>649</v>
      </c>
      <c r="D209" s="8"/>
      <c r="E209" s="7" t="s">
        <v>405</v>
      </c>
      <c r="F209" s="7" t="s">
        <v>650</v>
      </c>
      <c r="G209" s="7" t="s">
        <v>72</v>
      </c>
      <c r="H209" s="7" t="s">
        <v>49</v>
      </c>
      <c r="I209" s="7" t="s">
        <v>28</v>
      </c>
      <c r="J209" s="7" t="s">
        <v>40</v>
      </c>
      <c r="K209" s="7" t="s">
        <v>41</v>
      </c>
      <c r="L209" s="7" t="s">
        <v>42</v>
      </c>
      <c r="M209" s="7" t="s">
        <v>651</v>
      </c>
      <c r="N209" s="9" t="s">
        <v>32</v>
      </c>
      <c r="O209" s="9" t="s">
        <v>407</v>
      </c>
      <c r="P209" s="9" t="s">
        <v>34</v>
      </c>
      <c r="Q209" s="10" t="str">
        <f>IF(IDMaster[[#This Row],[Consumption]]="Consumption",IDMaster[[#This Row],[Consumption]],IDMaster[[#This Row],[Basis]])</f>
        <v>Revenue</v>
      </c>
      <c r="R209" s="7" t="str">
        <f>IDMaster[[#This Row],[Supported Group]]&amp;"."&amp;IDMaster[[#This Row],[Basis]]</f>
        <v>IT Dev Tools.Revenue</v>
      </c>
      <c r="S209" s="11">
        <v>0.42185161428265983</v>
      </c>
      <c r="T209" s="12">
        <v>0.57814838571734017</v>
      </c>
      <c r="U209" s="12">
        <v>0</v>
      </c>
      <c r="V209" s="12">
        <v>0</v>
      </c>
      <c r="W209" s="12">
        <v>0</v>
      </c>
    </row>
    <row r="210" spans="1:23" x14ac:dyDescent="0.35">
      <c r="A210" s="7" t="s">
        <v>23</v>
      </c>
      <c r="B210" s="7" t="s">
        <v>652</v>
      </c>
      <c r="C210" s="7" t="s">
        <v>169</v>
      </c>
      <c r="D210" s="8"/>
      <c r="E210" s="7" t="s">
        <v>592</v>
      </c>
      <c r="F210" s="7" t="s">
        <v>653</v>
      </c>
      <c r="G210" s="7" t="s">
        <v>72</v>
      </c>
      <c r="H210" s="7" t="s">
        <v>49</v>
      </c>
      <c r="I210" s="7" t="s">
        <v>28</v>
      </c>
      <c r="J210" s="7" t="s">
        <v>124</v>
      </c>
      <c r="K210" s="7" t="s">
        <v>41</v>
      </c>
      <c r="L210" s="7" t="s">
        <v>42</v>
      </c>
      <c r="M210" s="7" t="s">
        <v>43</v>
      </c>
      <c r="N210" s="9" t="s">
        <v>32</v>
      </c>
      <c r="O210" s="9" t="s">
        <v>33</v>
      </c>
      <c r="P210" s="9" t="s">
        <v>34</v>
      </c>
      <c r="Q210" s="10" t="str">
        <f>IF(IDMaster[[#This Row],[Consumption]]="Consumption",IDMaster[[#This Row],[Consumption]],IDMaster[[#This Row],[Basis]])</f>
        <v>Revenue</v>
      </c>
      <c r="R210" s="7" t="str">
        <f>IDMaster[[#This Row],[Supported Group]]&amp;"."&amp;IDMaster[[#This Row],[Basis]]</f>
        <v>IT Tools.Revenue</v>
      </c>
      <c r="S210" s="11">
        <v>0.42185161428265983</v>
      </c>
      <c r="T210" s="12">
        <v>0.57814838571734017</v>
      </c>
      <c r="U210" s="12">
        <v>0</v>
      </c>
      <c r="V210" s="12">
        <v>0</v>
      </c>
      <c r="W210" s="12">
        <v>0</v>
      </c>
    </row>
    <row r="211" spans="1:23" x14ac:dyDescent="0.35">
      <c r="A211" s="7" t="s">
        <v>23</v>
      </c>
      <c r="B211" s="7" t="s">
        <v>654</v>
      </c>
      <c r="C211" s="7" t="s">
        <v>134</v>
      </c>
      <c r="D211" s="8"/>
      <c r="E211" s="7" t="s">
        <v>584</v>
      </c>
      <c r="F211" s="7" t="s">
        <v>30</v>
      </c>
      <c r="G211" s="7" t="s">
        <v>48</v>
      </c>
      <c r="H211" s="7" t="s">
        <v>39</v>
      </c>
      <c r="I211" s="7" t="s">
        <v>28</v>
      </c>
      <c r="J211" s="7" t="s">
        <v>137</v>
      </c>
      <c r="K211" s="7" t="s">
        <v>29</v>
      </c>
      <c r="L211" s="7" t="s">
        <v>30</v>
      </c>
      <c r="M211" s="7" t="s">
        <v>43</v>
      </c>
      <c r="N211" s="9" t="s">
        <v>32</v>
      </c>
      <c r="O211" s="9" t="s">
        <v>67</v>
      </c>
      <c r="P211" s="9" t="s">
        <v>34</v>
      </c>
      <c r="Q211" s="10" t="str">
        <f>IF(IDMaster[[#This Row],[Consumption]]="Consumption",IDMaster[[#This Row],[Consumption]],IDMaster[[#This Row],[Basis]])</f>
        <v>Revenue</v>
      </c>
      <c r="R211" s="7" t="str">
        <f>IDMaster[[#This Row],[Supported Group]]&amp;"."&amp;IDMaster[[#This Row],[Basis]]</f>
        <v>IT Corporate.Revenue</v>
      </c>
      <c r="S211" s="11">
        <v>0.42185161428265983</v>
      </c>
      <c r="T211" s="12">
        <v>0.57814838571734017</v>
      </c>
      <c r="U211" s="12">
        <v>0</v>
      </c>
      <c r="V211" s="12">
        <v>0</v>
      </c>
      <c r="W211" s="12">
        <v>0</v>
      </c>
    </row>
    <row r="212" spans="1:23" x14ac:dyDescent="0.35">
      <c r="A212" s="7" t="s">
        <v>23</v>
      </c>
      <c r="B212" s="7" t="s">
        <v>655</v>
      </c>
      <c r="C212" s="7" t="s">
        <v>656</v>
      </c>
      <c r="D212" s="8">
        <v>317439</v>
      </c>
      <c r="E212" s="7" t="s">
        <v>592</v>
      </c>
      <c r="F212" s="7" t="s">
        <v>657</v>
      </c>
      <c r="G212" s="20" t="s">
        <v>48</v>
      </c>
      <c r="H212" s="7" t="s">
        <v>489</v>
      </c>
      <c r="I212" s="7" t="s">
        <v>123</v>
      </c>
      <c r="J212" s="7" t="s">
        <v>124</v>
      </c>
      <c r="K212" s="7" t="s">
        <v>41</v>
      </c>
      <c r="L212" s="7" t="s">
        <v>42</v>
      </c>
      <c r="M212" s="7" t="s">
        <v>658</v>
      </c>
      <c r="N212" s="9" t="s">
        <v>32</v>
      </c>
      <c r="O212" s="9" t="s">
        <v>659</v>
      </c>
      <c r="P212" s="14" t="s">
        <v>34</v>
      </c>
      <c r="Q212" s="10" t="str">
        <f>IF(IDMaster[[#This Row],[Consumption]]="Consumption",IDMaster[[#This Row],[Consumption]],IDMaster[[#This Row],[Basis]])</f>
        <v>Revenue</v>
      </c>
      <c r="R212" s="7" t="str">
        <f>IDMaster[[#This Row],[Supported Group]]&amp;"."&amp;IDMaster[[#This Row],[Basis]]</f>
        <v>AI.Revenue</v>
      </c>
      <c r="S212" s="11">
        <v>0.42185161428265983</v>
      </c>
      <c r="T212" s="12">
        <v>0.57814838571734017</v>
      </c>
      <c r="U212" s="12">
        <v>0</v>
      </c>
      <c r="V212" s="12">
        <v>0</v>
      </c>
      <c r="W212" s="12">
        <v>0</v>
      </c>
    </row>
    <row r="213" spans="1:23" x14ac:dyDescent="0.35">
      <c r="A213" s="7" t="s">
        <v>23</v>
      </c>
      <c r="B213" s="7" t="s">
        <v>660</v>
      </c>
      <c r="C213" s="7" t="s">
        <v>290</v>
      </c>
      <c r="D213" s="8">
        <v>317598</v>
      </c>
      <c r="E213" s="7" t="s">
        <v>95</v>
      </c>
      <c r="F213" s="7" t="s">
        <v>661</v>
      </c>
      <c r="G213" s="7" t="s">
        <v>97</v>
      </c>
      <c r="H213" s="7" t="s">
        <v>27</v>
      </c>
      <c r="I213" s="7" t="s">
        <v>28</v>
      </c>
      <c r="J213" s="7" t="s">
        <v>137</v>
      </c>
      <c r="K213" s="7" t="s">
        <v>29</v>
      </c>
      <c r="L213" s="7" t="s">
        <v>30</v>
      </c>
      <c r="M213" s="7" t="s">
        <v>662</v>
      </c>
      <c r="N213" s="9" t="s">
        <v>32</v>
      </c>
      <c r="O213" s="9" t="s">
        <v>99</v>
      </c>
      <c r="P213" s="9" t="s">
        <v>34</v>
      </c>
      <c r="Q213" s="10" t="str">
        <f>IF(IDMaster[[#This Row],[Consumption]]="Consumption",IDMaster[[#This Row],[Consumption]],IDMaster[[#This Row],[Basis]])</f>
        <v>Revenue</v>
      </c>
      <c r="R213" s="7" t="str">
        <f>IDMaster[[#This Row],[Supported Group]]&amp;"."&amp;IDMaster[[#This Row],[Basis]]</f>
        <v>Security.Revenue</v>
      </c>
      <c r="S213" s="11">
        <v>0.42185161428265983</v>
      </c>
      <c r="T213" s="12">
        <v>0.57814838571734017</v>
      </c>
      <c r="U213" s="12">
        <v>0</v>
      </c>
      <c r="V213" s="12">
        <v>0</v>
      </c>
      <c r="W213" s="12">
        <v>0</v>
      </c>
    </row>
    <row r="214" spans="1:23" x14ac:dyDescent="0.35">
      <c r="A214" s="7" t="s">
        <v>23</v>
      </c>
      <c r="B214" s="7" t="s">
        <v>663</v>
      </c>
      <c r="C214" s="7" t="s">
        <v>290</v>
      </c>
      <c r="D214" s="8">
        <v>317598</v>
      </c>
      <c r="E214" s="7" t="s">
        <v>95</v>
      </c>
      <c r="F214" s="7" t="s">
        <v>664</v>
      </c>
      <c r="G214" s="7" t="s">
        <v>97</v>
      </c>
      <c r="H214" s="7" t="s">
        <v>27</v>
      </c>
      <c r="I214" s="7" t="s">
        <v>28</v>
      </c>
      <c r="J214" s="7" t="s">
        <v>137</v>
      </c>
      <c r="K214" s="7" t="s">
        <v>29</v>
      </c>
      <c r="L214" s="7" t="s">
        <v>30</v>
      </c>
      <c r="M214" s="7" t="s">
        <v>665</v>
      </c>
      <c r="N214" s="9" t="s">
        <v>32</v>
      </c>
      <c r="O214" s="9" t="s">
        <v>99</v>
      </c>
      <c r="P214" s="9" t="s">
        <v>34</v>
      </c>
      <c r="Q214" s="10" t="str">
        <f>IF(IDMaster[[#This Row],[Consumption]]="Consumption",IDMaster[[#This Row],[Consumption]],IDMaster[[#This Row],[Basis]])</f>
        <v>Revenue</v>
      </c>
      <c r="R214" s="7" t="str">
        <f>IDMaster[[#This Row],[Supported Group]]&amp;"."&amp;IDMaster[[#This Row],[Basis]]</f>
        <v>Security.Revenue</v>
      </c>
      <c r="S214" s="11">
        <v>0.42185161428265983</v>
      </c>
      <c r="T214" s="12">
        <v>0.57814838571734017</v>
      </c>
      <c r="U214" s="12">
        <v>0</v>
      </c>
      <c r="V214" s="12">
        <v>0</v>
      </c>
      <c r="W214" s="12">
        <v>0</v>
      </c>
    </row>
    <row r="215" spans="1:23" x14ac:dyDescent="0.35">
      <c r="A215" s="7" t="s">
        <v>23</v>
      </c>
      <c r="B215" s="7" t="s">
        <v>666</v>
      </c>
      <c r="C215" s="7" t="s">
        <v>329</v>
      </c>
      <c r="D215" s="8">
        <v>207712</v>
      </c>
      <c r="E215" s="7" t="s">
        <v>95</v>
      </c>
      <c r="F215" s="7" t="s">
        <v>667</v>
      </c>
      <c r="G215" s="7" t="s">
        <v>97</v>
      </c>
      <c r="H215" s="7" t="s">
        <v>27</v>
      </c>
      <c r="I215" s="7" t="s">
        <v>28</v>
      </c>
      <c r="J215" s="7" t="s">
        <v>40</v>
      </c>
      <c r="K215" s="7" t="s">
        <v>80</v>
      </c>
      <c r="L215" s="7" t="s">
        <v>42</v>
      </c>
      <c r="M215" s="7" t="s">
        <v>668</v>
      </c>
      <c r="N215" s="9" t="s">
        <v>32</v>
      </c>
      <c r="O215" s="9" t="s">
        <v>99</v>
      </c>
      <c r="P215" s="9" t="s">
        <v>34</v>
      </c>
      <c r="Q215" s="10" t="str">
        <f>IF(IDMaster[[#This Row],[Consumption]]="Consumption",IDMaster[[#This Row],[Consumption]],IDMaster[[#This Row],[Basis]])</f>
        <v>Revenue</v>
      </c>
      <c r="R215" s="7" t="str">
        <f>IDMaster[[#This Row],[Supported Group]]&amp;"."&amp;IDMaster[[#This Row],[Basis]]</f>
        <v>Security.Revenue</v>
      </c>
      <c r="S215" s="11">
        <v>0.42185161428265983</v>
      </c>
      <c r="T215" s="12">
        <v>0.57814838571734017</v>
      </c>
      <c r="U215" s="12">
        <v>0</v>
      </c>
      <c r="V215" s="12">
        <v>0</v>
      </c>
      <c r="W215" s="12">
        <v>0</v>
      </c>
    </row>
    <row r="216" spans="1:23" x14ac:dyDescent="0.35">
      <c r="A216" s="7" t="s">
        <v>23</v>
      </c>
      <c r="B216" s="7" t="s">
        <v>669</v>
      </c>
      <c r="C216" s="7" t="s">
        <v>670</v>
      </c>
      <c r="D216" s="8">
        <v>445649</v>
      </c>
      <c r="E216" s="7" t="s">
        <v>46</v>
      </c>
      <c r="F216" s="7" t="s">
        <v>671</v>
      </c>
      <c r="G216" s="7" t="s">
        <v>48</v>
      </c>
      <c r="H216" s="7" t="s">
        <v>27</v>
      </c>
      <c r="I216" s="7" t="s">
        <v>28</v>
      </c>
      <c r="J216" s="7" t="s">
        <v>137</v>
      </c>
      <c r="K216" s="7" t="s">
        <v>63</v>
      </c>
      <c r="L216" s="7" t="s">
        <v>30</v>
      </c>
      <c r="M216" s="7" t="s">
        <v>672</v>
      </c>
      <c r="N216" s="9" t="s">
        <v>32</v>
      </c>
      <c r="O216" s="9" t="s">
        <v>195</v>
      </c>
      <c r="P216" s="9" t="s">
        <v>34</v>
      </c>
      <c r="Q216" s="10" t="str">
        <f>IF(IDMaster[[#This Row],[Consumption]]="Consumption",IDMaster[[#This Row],[Consumption]],IDMaster[[#This Row],[Basis]])</f>
        <v>Revenue</v>
      </c>
      <c r="R216" s="7" t="str">
        <f>IDMaster[[#This Row],[Supported Group]]&amp;"."&amp;IDMaster[[#This Row],[Basis]]</f>
        <v>External Labor.Revenue</v>
      </c>
      <c r="S216" s="11">
        <v>0.42185161428265983</v>
      </c>
      <c r="T216" s="12">
        <v>0.57814838571734017</v>
      </c>
      <c r="U216" s="12">
        <v>0</v>
      </c>
      <c r="V216" s="12">
        <v>0</v>
      </c>
      <c r="W216" s="12">
        <v>0</v>
      </c>
    </row>
    <row r="217" spans="1:23" x14ac:dyDescent="0.35">
      <c r="A217" s="7" t="s">
        <v>23</v>
      </c>
      <c r="B217" s="7" t="s">
        <v>673</v>
      </c>
      <c r="C217" s="7" t="s">
        <v>326</v>
      </c>
      <c r="D217" s="8">
        <v>178105</v>
      </c>
      <c r="E217" s="7" t="s">
        <v>95</v>
      </c>
      <c r="F217" s="7" t="s">
        <v>674</v>
      </c>
      <c r="G217" s="7" t="s">
        <v>97</v>
      </c>
      <c r="H217" s="7" t="s">
        <v>27</v>
      </c>
      <c r="I217" s="7" t="s">
        <v>28</v>
      </c>
      <c r="J217" s="7" t="s">
        <v>40</v>
      </c>
      <c r="K217" s="7" t="s">
        <v>80</v>
      </c>
      <c r="L217" s="7" t="s">
        <v>42</v>
      </c>
      <c r="M217" s="7" t="s">
        <v>675</v>
      </c>
      <c r="N217" s="9" t="s">
        <v>32</v>
      </c>
      <c r="O217" s="9" t="s">
        <v>99</v>
      </c>
      <c r="P217" s="9" t="s">
        <v>34</v>
      </c>
      <c r="Q217" s="10" t="str">
        <f>IF(IDMaster[[#This Row],[Consumption]]="Consumption",IDMaster[[#This Row],[Consumption]],IDMaster[[#This Row],[Basis]])</f>
        <v>Revenue</v>
      </c>
      <c r="R217" s="7" t="str">
        <f>IDMaster[[#This Row],[Supported Group]]&amp;"."&amp;IDMaster[[#This Row],[Basis]]</f>
        <v>Security.Revenue</v>
      </c>
      <c r="S217" s="11">
        <v>0.42185161428265983</v>
      </c>
      <c r="T217" s="12">
        <v>0.57814838571734017</v>
      </c>
      <c r="U217" s="12">
        <v>0</v>
      </c>
      <c r="V217" s="12">
        <v>0</v>
      </c>
      <c r="W217" s="12">
        <v>0</v>
      </c>
    </row>
    <row r="218" spans="1:23" x14ac:dyDescent="0.35">
      <c r="A218" s="7" t="s">
        <v>23</v>
      </c>
      <c r="B218" s="7" t="s">
        <v>676</v>
      </c>
      <c r="C218" s="7" t="s">
        <v>326</v>
      </c>
      <c r="D218" s="8">
        <v>178105</v>
      </c>
      <c r="E218" s="7" t="s">
        <v>95</v>
      </c>
      <c r="F218" s="7" t="s">
        <v>677</v>
      </c>
      <c r="G218" s="7" t="s">
        <v>97</v>
      </c>
      <c r="H218" s="7" t="s">
        <v>27</v>
      </c>
      <c r="I218" s="7" t="s">
        <v>28</v>
      </c>
      <c r="J218" s="7" t="s">
        <v>40</v>
      </c>
      <c r="K218" s="7" t="s">
        <v>80</v>
      </c>
      <c r="L218" s="7" t="s">
        <v>42</v>
      </c>
      <c r="M218" s="7" t="s">
        <v>675</v>
      </c>
      <c r="N218" s="9" t="s">
        <v>32</v>
      </c>
      <c r="O218" s="9" t="s">
        <v>99</v>
      </c>
      <c r="P218" s="9" t="s">
        <v>34</v>
      </c>
      <c r="Q218" s="10" t="str">
        <f>IF(IDMaster[[#This Row],[Consumption]]="Consumption",IDMaster[[#This Row],[Consumption]],IDMaster[[#This Row],[Basis]])</f>
        <v>Revenue</v>
      </c>
      <c r="R218" s="7" t="str">
        <f>IDMaster[[#This Row],[Supported Group]]&amp;"."&amp;IDMaster[[#This Row],[Basis]]</f>
        <v>Security.Revenue</v>
      </c>
      <c r="S218" s="11">
        <v>0.42185161428265983</v>
      </c>
      <c r="T218" s="12">
        <v>0.57814838571734017</v>
      </c>
      <c r="U218" s="12">
        <v>0</v>
      </c>
      <c r="V218" s="12">
        <v>0</v>
      </c>
      <c r="W218" s="12">
        <v>0</v>
      </c>
    </row>
    <row r="219" spans="1:23" x14ac:dyDescent="0.35">
      <c r="A219" s="7" t="s">
        <v>23</v>
      </c>
      <c r="B219" s="7" t="s">
        <v>678</v>
      </c>
      <c r="C219" s="7" t="s">
        <v>679</v>
      </c>
      <c r="D219" s="8"/>
      <c r="E219" s="7" t="s">
        <v>150</v>
      </c>
      <c r="F219" s="7" t="s">
        <v>680</v>
      </c>
      <c r="G219" s="7" t="s">
        <v>152</v>
      </c>
      <c r="H219" s="7" t="s">
        <v>489</v>
      </c>
      <c r="I219" s="7" t="s">
        <v>28</v>
      </c>
      <c r="J219" s="7" t="s">
        <v>40</v>
      </c>
      <c r="K219" s="7" t="s">
        <v>41</v>
      </c>
      <c r="L219" s="7" t="s">
        <v>42</v>
      </c>
      <c r="M219" s="7" t="s">
        <v>681</v>
      </c>
      <c r="N219" s="9" t="s">
        <v>32</v>
      </c>
      <c r="O219" s="9" t="s">
        <v>574</v>
      </c>
      <c r="P219" s="9" t="s">
        <v>34</v>
      </c>
      <c r="Q219" s="10" t="str">
        <f>IF(IDMaster[[#This Row],[Consumption]]="Consumption",IDMaster[[#This Row],[Consumption]],IDMaster[[#This Row],[Basis]])</f>
        <v>Revenue</v>
      </c>
      <c r="R219" s="7" t="str">
        <f>IDMaster[[#This Row],[Supported Group]]&amp;"."&amp;IDMaster[[#This Row],[Basis]]</f>
        <v>Marketing.Revenue</v>
      </c>
      <c r="S219" s="11">
        <v>0.42185161428265983</v>
      </c>
      <c r="T219" s="12">
        <v>0.57814838571734017</v>
      </c>
      <c r="U219" s="12">
        <v>0</v>
      </c>
      <c r="V219" s="12">
        <v>0</v>
      </c>
      <c r="W219" s="12">
        <v>0</v>
      </c>
    </row>
    <row r="220" spans="1:23" x14ac:dyDescent="0.35">
      <c r="A220" s="7" t="s">
        <v>23</v>
      </c>
      <c r="B220" s="7" t="s">
        <v>682</v>
      </c>
      <c r="C220" s="7" t="s">
        <v>134</v>
      </c>
      <c r="D220" s="8"/>
      <c r="E220" s="7" t="s">
        <v>46</v>
      </c>
      <c r="F220" s="7" t="s">
        <v>42</v>
      </c>
      <c r="G220" s="7" t="s">
        <v>48</v>
      </c>
      <c r="H220" s="7" t="s">
        <v>27</v>
      </c>
      <c r="I220" s="7" t="s">
        <v>28</v>
      </c>
      <c r="J220" s="7" t="s">
        <v>40</v>
      </c>
      <c r="K220" s="7" t="s">
        <v>41</v>
      </c>
      <c r="L220" s="7" t="s">
        <v>42</v>
      </c>
      <c r="M220" s="7" t="s">
        <v>42</v>
      </c>
      <c r="N220" s="9" t="s">
        <v>32</v>
      </c>
      <c r="O220" s="9" t="s">
        <v>51</v>
      </c>
      <c r="P220" s="9" t="s">
        <v>34</v>
      </c>
      <c r="Q220" s="10" t="str">
        <f>IF(IDMaster[[#This Row],[Consumption]]="Consumption",IDMaster[[#This Row],[Consumption]],IDMaster[[#This Row],[Basis]])</f>
        <v>Revenue</v>
      </c>
      <c r="R220" s="7" t="str">
        <f>IDMaster[[#This Row],[Supported Group]]&amp;"."&amp;IDMaster[[#This Row],[Basis]]</f>
        <v>IT Infrastructure.Revenue</v>
      </c>
      <c r="S220" s="11">
        <v>0.42185161428265983</v>
      </c>
      <c r="T220" s="12">
        <v>0.57814838571734017</v>
      </c>
      <c r="U220" s="12">
        <v>0</v>
      </c>
      <c r="V220" s="12">
        <v>0</v>
      </c>
      <c r="W220" s="12">
        <v>0</v>
      </c>
    </row>
    <row r="221" spans="1:23" x14ac:dyDescent="0.35">
      <c r="A221" s="7" t="s">
        <v>23</v>
      </c>
      <c r="B221" s="7" t="s">
        <v>683</v>
      </c>
      <c r="C221" s="7" t="s">
        <v>134</v>
      </c>
      <c r="D221" s="8"/>
      <c r="E221" s="7" t="s">
        <v>46</v>
      </c>
      <c r="F221" s="7" t="s">
        <v>42</v>
      </c>
      <c r="G221" s="7" t="s">
        <v>48</v>
      </c>
      <c r="H221" s="7" t="s">
        <v>27</v>
      </c>
      <c r="I221" s="7" t="s">
        <v>28</v>
      </c>
      <c r="J221" s="7" t="s">
        <v>40</v>
      </c>
      <c r="K221" s="7" t="s">
        <v>41</v>
      </c>
      <c r="L221" s="7" t="s">
        <v>42</v>
      </c>
      <c r="M221" s="7" t="s">
        <v>43</v>
      </c>
      <c r="N221" s="9" t="s">
        <v>32</v>
      </c>
      <c r="O221" s="9" t="s">
        <v>51</v>
      </c>
      <c r="P221" s="9" t="s">
        <v>34</v>
      </c>
      <c r="Q221" s="10" t="str">
        <f>IF(IDMaster[[#This Row],[Consumption]]="Consumption",IDMaster[[#This Row],[Consumption]],IDMaster[[#This Row],[Basis]])</f>
        <v>Revenue</v>
      </c>
      <c r="R221" s="7" t="str">
        <f>IDMaster[[#This Row],[Supported Group]]&amp;"."&amp;IDMaster[[#This Row],[Basis]]</f>
        <v>IT Infrastructure.Revenue</v>
      </c>
      <c r="S221" s="11">
        <v>0.42185161428265983</v>
      </c>
      <c r="T221" s="12">
        <v>0.57814838571734017</v>
      </c>
      <c r="U221" s="12">
        <v>0</v>
      </c>
      <c r="V221" s="12">
        <v>0</v>
      </c>
      <c r="W221" s="12">
        <v>0</v>
      </c>
    </row>
    <row r="222" spans="1:23" x14ac:dyDescent="0.35">
      <c r="A222" s="7" t="s">
        <v>23</v>
      </c>
      <c r="B222" s="7" t="s">
        <v>684</v>
      </c>
      <c r="C222" s="7" t="s">
        <v>134</v>
      </c>
      <c r="D222" s="8"/>
      <c r="E222" s="7" t="s">
        <v>584</v>
      </c>
      <c r="F222" s="7" t="s">
        <v>42</v>
      </c>
      <c r="G222" s="7" t="s">
        <v>48</v>
      </c>
      <c r="H222" s="7" t="s">
        <v>39</v>
      </c>
      <c r="I222" s="7" t="s">
        <v>123</v>
      </c>
      <c r="J222" s="7" t="s">
        <v>40</v>
      </c>
      <c r="K222" s="7" t="s">
        <v>41</v>
      </c>
      <c r="L222" s="7" t="s">
        <v>42</v>
      </c>
      <c r="M222" s="7" t="s">
        <v>43</v>
      </c>
      <c r="N222" s="9" t="s">
        <v>32</v>
      </c>
      <c r="O222" s="9" t="s">
        <v>44</v>
      </c>
      <c r="P222" s="9" t="s">
        <v>34</v>
      </c>
      <c r="Q222" s="10" t="str">
        <f>IF(IDMaster[[#This Row],[Consumption]]="Consumption",IDMaster[[#This Row],[Consumption]],IDMaster[[#This Row],[Basis]])</f>
        <v>Revenue</v>
      </c>
      <c r="R222" s="7" t="str">
        <f>IDMaster[[#This Row],[Supported Group]]&amp;"."&amp;IDMaster[[#This Row],[Basis]]</f>
        <v>Corporate.Revenue</v>
      </c>
      <c r="S222" s="11">
        <v>0.42185161428265983</v>
      </c>
      <c r="T222" s="12">
        <v>0.57814838571734017</v>
      </c>
      <c r="U222" s="12">
        <v>0</v>
      </c>
      <c r="V222" s="12">
        <v>0</v>
      </c>
      <c r="W222" s="12">
        <v>0</v>
      </c>
    </row>
    <row r="223" spans="1:23" x14ac:dyDescent="0.35">
      <c r="A223" s="7" t="s">
        <v>23</v>
      </c>
      <c r="B223" s="7" t="s">
        <v>685</v>
      </c>
      <c r="C223" s="7" t="s">
        <v>134</v>
      </c>
      <c r="D223" s="8"/>
      <c r="E223" s="7" t="s">
        <v>53</v>
      </c>
      <c r="F223" s="7" t="s">
        <v>686</v>
      </c>
      <c r="G223" s="7" t="s">
        <v>55</v>
      </c>
      <c r="H223" s="7" t="s">
        <v>27</v>
      </c>
      <c r="I223" s="7" t="s">
        <v>28</v>
      </c>
      <c r="J223" s="7" t="s">
        <v>625</v>
      </c>
      <c r="K223" s="7" t="s">
        <v>687</v>
      </c>
      <c r="L223" s="7" t="s">
        <v>631</v>
      </c>
      <c r="M223" s="7" t="s">
        <v>686</v>
      </c>
      <c r="N223" s="9" t="s">
        <v>92</v>
      </c>
      <c r="O223" s="9" t="s">
        <v>33</v>
      </c>
      <c r="P223" s="9" t="s">
        <v>34</v>
      </c>
      <c r="Q223" s="10" t="str">
        <f>IF(IDMaster[[#This Row],[Consumption]]="Consumption",IDMaster[[#This Row],[Consumption]],IDMaster[[#This Row],[Basis]])</f>
        <v>Total Headcount</v>
      </c>
      <c r="R223" s="7" t="str">
        <f>IDMaster[[#This Row],[Supported Group]]&amp;"."&amp;IDMaster[[#This Row],[Basis]]</f>
        <v>IT Tools.Total Headcount</v>
      </c>
      <c r="S223" s="11">
        <v>0.69106036166058238</v>
      </c>
      <c r="T223" s="12">
        <v>0.14347567705238135</v>
      </c>
      <c r="U223" s="12">
        <v>0</v>
      </c>
      <c r="V223" s="12">
        <v>0</v>
      </c>
      <c r="W223" s="12">
        <v>0.16546396128703625</v>
      </c>
    </row>
    <row r="224" spans="1:23" x14ac:dyDescent="0.35">
      <c r="A224" s="7" t="s">
        <v>23</v>
      </c>
      <c r="B224" s="7" t="s">
        <v>688</v>
      </c>
      <c r="C224" s="7" t="s">
        <v>134</v>
      </c>
      <c r="D224" s="8"/>
      <c r="E224" s="7" t="s">
        <v>46</v>
      </c>
      <c r="F224" s="13" t="s">
        <v>689</v>
      </c>
      <c r="G224" s="7" t="s">
        <v>48</v>
      </c>
      <c r="H224" s="7" t="s">
        <v>39</v>
      </c>
      <c r="I224" s="7" t="s">
        <v>123</v>
      </c>
      <c r="J224" s="7" t="s">
        <v>267</v>
      </c>
      <c r="K224" s="7" t="s">
        <v>690</v>
      </c>
      <c r="L224" s="7" t="s">
        <v>691</v>
      </c>
      <c r="M224" s="7" t="s">
        <v>43</v>
      </c>
      <c r="N224" s="9" t="s">
        <v>692</v>
      </c>
      <c r="O224" s="9" t="s">
        <v>538</v>
      </c>
      <c r="P224" s="9" t="s">
        <v>34</v>
      </c>
      <c r="Q224" s="10" t="str">
        <f>IF(IDMaster[[#This Row],[Consumption]]="Consumption",IDMaster[[#This Row],[Consumption]],IDMaster[[#This Row],[Basis]])</f>
        <v>Store Count</v>
      </c>
      <c r="R224" s="7" t="str">
        <f>IDMaster[[#This Row],[Supported Group]]&amp;"."&amp;IDMaster[[#This Row],[Basis]]</f>
        <v>RAC.Store Count</v>
      </c>
      <c r="S224" s="11">
        <v>0.7087214225232854</v>
      </c>
      <c r="T224" s="12">
        <v>0.29127857747671465</v>
      </c>
      <c r="U224" s="12">
        <v>0</v>
      </c>
      <c r="V224" s="12">
        <v>0</v>
      </c>
      <c r="W224" s="12">
        <v>0</v>
      </c>
    </row>
    <row r="225" spans="1:23" x14ac:dyDescent="0.35">
      <c r="A225" s="7" t="s">
        <v>23</v>
      </c>
      <c r="B225" s="7" t="s">
        <v>693</v>
      </c>
      <c r="C225" s="7" t="s">
        <v>134</v>
      </c>
      <c r="D225" s="8"/>
      <c r="E225" s="7" t="s">
        <v>46</v>
      </c>
      <c r="F225" s="7" t="s">
        <v>694</v>
      </c>
      <c r="G225" s="7" t="s">
        <v>48</v>
      </c>
      <c r="H225" s="7" t="s">
        <v>27</v>
      </c>
      <c r="I225" s="7" t="s">
        <v>28</v>
      </c>
      <c r="J225" s="7" t="s">
        <v>267</v>
      </c>
      <c r="K225" s="7" t="s">
        <v>695</v>
      </c>
      <c r="L225" s="7" t="s">
        <v>691</v>
      </c>
      <c r="M225" s="7" t="s">
        <v>43</v>
      </c>
      <c r="N225" s="9" t="s">
        <v>92</v>
      </c>
      <c r="O225" s="9" t="s">
        <v>67</v>
      </c>
      <c r="P225" s="9" t="s">
        <v>34</v>
      </c>
      <c r="Q225" s="10" t="str">
        <f>IF(IDMaster[[#This Row],[Consumption]]="Consumption",IDMaster[[#This Row],[Consumption]],IDMaster[[#This Row],[Basis]])</f>
        <v>Total Headcount</v>
      </c>
      <c r="R225" s="7" t="str">
        <f>IDMaster[[#This Row],[Supported Group]]&amp;"."&amp;IDMaster[[#This Row],[Basis]]</f>
        <v>IT Corporate.Total Headcount</v>
      </c>
      <c r="S225" s="11">
        <v>0.69106036166058238</v>
      </c>
      <c r="T225" s="12">
        <v>0.14347567705238135</v>
      </c>
      <c r="U225" s="12">
        <v>0</v>
      </c>
      <c r="V225" s="12">
        <v>0</v>
      </c>
      <c r="W225" s="12">
        <v>0.16546396128703625</v>
      </c>
    </row>
    <row r="226" spans="1:23" x14ac:dyDescent="0.35">
      <c r="A226" s="7" t="s">
        <v>23</v>
      </c>
      <c r="B226" s="7" t="s">
        <v>696</v>
      </c>
      <c r="C226" s="7" t="s">
        <v>134</v>
      </c>
      <c r="D226" s="8"/>
      <c r="E226" s="7" t="s">
        <v>46</v>
      </c>
      <c r="F226" s="7" t="s">
        <v>689</v>
      </c>
      <c r="G226" s="7" t="s">
        <v>48</v>
      </c>
      <c r="H226" s="7" t="s">
        <v>27</v>
      </c>
      <c r="I226" s="7" t="s">
        <v>28</v>
      </c>
      <c r="J226" s="7" t="s">
        <v>267</v>
      </c>
      <c r="K226" s="7" t="s">
        <v>690</v>
      </c>
      <c r="L226" s="7" t="s">
        <v>691</v>
      </c>
      <c r="M226" s="7" t="s">
        <v>691</v>
      </c>
      <c r="N226" s="9" t="s">
        <v>92</v>
      </c>
      <c r="O226" s="9" t="s">
        <v>51</v>
      </c>
      <c r="P226" s="9" t="s">
        <v>34</v>
      </c>
      <c r="Q226" s="10" t="str">
        <f>IF(IDMaster[[#This Row],[Consumption]]="Consumption",IDMaster[[#This Row],[Consumption]],IDMaster[[#This Row],[Basis]])</f>
        <v>Total Headcount</v>
      </c>
      <c r="R226" s="7" t="str">
        <f>IDMaster[[#This Row],[Supported Group]]&amp;"."&amp;IDMaster[[#This Row],[Basis]]</f>
        <v>IT Infrastructure.Total Headcount</v>
      </c>
      <c r="S226" s="11">
        <v>0.69106036166058238</v>
      </c>
      <c r="T226" s="12">
        <v>0.14347567705238135</v>
      </c>
      <c r="U226" s="12">
        <v>0</v>
      </c>
      <c r="V226" s="12">
        <v>0</v>
      </c>
      <c r="W226" s="12">
        <v>0.16546396128703625</v>
      </c>
    </row>
    <row r="227" spans="1:23" x14ac:dyDescent="0.35">
      <c r="A227" s="7" t="s">
        <v>23</v>
      </c>
      <c r="B227" s="7" t="s">
        <v>697</v>
      </c>
      <c r="C227" s="7" t="s">
        <v>134</v>
      </c>
      <c r="D227" s="8"/>
      <c r="E227" s="7" t="s">
        <v>46</v>
      </c>
      <c r="F227" s="7" t="s">
        <v>698</v>
      </c>
      <c r="G227" s="7" t="s">
        <v>48</v>
      </c>
      <c r="H227" s="7" t="s">
        <v>27</v>
      </c>
      <c r="I227" s="7" t="s">
        <v>28</v>
      </c>
      <c r="J227" s="7" t="s">
        <v>267</v>
      </c>
      <c r="K227" s="7" t="s">
        <v>699</v>
      </c>
      <c r="L227" s="7" t="s">
        <v>691</v>
      </c>
      <c r="M227" s="7" t="s">
        <v>691</v>
      </c>
      <c r="N227" s="9" t="s">
        <v>92</v>
      </c>
      <c r="O227" s="9" t="s">
        <v>51</v>
      </c>
      <c r="P227" s="9" t="s">
        <v>34</v>
      </c>
      <c r="Q227" s="10" t="str">
        <f>IF(IDMaster[[#This Row],[Consumption]]="Consumption",IDMaster[[#This Row],[Consumption]],IDMaster[[#This Row],[Basis]])</f>
        <v>Total Headcount</v>
      </c>
      <c r="R227" s="7" t="str">
        <f>IDMaster[[#This Row],[Supported Group]]&amp;"."&amp;IDMaster[[#This Row],[Basis]]</f>
        <v>IT Infrastructure.Total Headcount</v>
      </c>
      <c r="S227" s="11">
        <v>0.69106036166058238</v>
      </c>
      <c r="T227" s="12">
        <v>0.14347567705238135</v>
      </c>
      <c r="U227" s="12">
        <v>0</v>
      </c>
      <c r="V227" s="12">
        <v>0</v>
      </c>
      <c r="W227" s="12">
        <v>0.16546396128703625</v>
      </c>
    </row>
    <row r="228" spans="1:23" x14ac:dyDescent="0.35">
      <c r="A228" s="7" t="s">
        <v>23</v>
      </c>
      <c r="B228" s="7" t="s">
        <v>700</v>
      </c>
      <c r="C228" s="7" t="s">
        <v>134</v>
      </c>
      <c r="D228" s="8"/>
      <c r="E228" s="7" t="s">
        <v>46</v>
      </c>
      <c r="F228" s="7" t="s">
        <v>701</v>
      </c>
      <c r="G228" s="7" t="s">
        <v>48</v>
      </c>
      <c r="H228" s="7" t="s">
        <v>27</v>
      </c>
      <c r="I228" s="7" t="s">
        <v>28</v>
      </c>
      <c r="J228" s="7" t="s">
        <v>267</v>
      </c>
      <c r="K228" s="7" t="s">
        <v>702</v>
      </c>
      <c r="L228" s="7" t="s">
        <v>691</v>
      </c>
      <c r="M228" s="7" t="s">
        <v>691</v>
      </c>
      <c r="N228" s="9" t="s">
        <v>92</v>
      </c>
      <c r="O228" s="9" t="s">
        <v>51</v>
      </c>
      <c r="P228" s="9" t="s">
        <v>34</v>
      </c>
      <c r="Q228" s="10" t="str">
        <f>IF(IDMaster[[#This Row],[Consumption]]="Consumption",IDMaster[[#This Row],[Consumption]],IDMaster[[#This Row],[Basis]])</f>
        <v>Total Headcount</v>
      </c>
      <c r="R228" s="7" t="str">
        <f>IDMaster[[#This Row],[Supported Group]]&amp;"."&amp;IDMaster[[#This Row],[Basis]]</f>
        <v>IT Infrastructure.Total Headcount</v>
      </c>
      <c r="S228" s="11">
        <v>0.69106036166058238</v>
      </c>
      <c r="T228" s="12">
        <v>0.14347567705238135</v>
      </c>
      <c r="U228" s="12">
        <v>0</v>
      </c>
      <c r="V228" s="12">
        <v>0</v>
      </c>
      <c r="W228" s="12">
        <v>0.16546396128703625</v>
      </c>
    </row>
    <row r="229" spans="1:23" x14ac:dyDescent="0.35">
      <c r="A229" s="7" t="s">
        <v>23</v>
      </c>
      <c r="B229" s="7" t="s">
        <v>703</v>
      </c>
      <c r="C229" s="7" t="s">
        <v>134</v>
      </c>
      <c r="D229" s="8"/>
      <c r="E229" s="7" t="s">
        <v>25</v>
      </c>
      <c r="F229" s="7" t="s">
        <v>704</v>
      </c>
      <c r="G229" s="7" t="s">
        <v>25</v>
      </c>
      <c r="H229" s="7" t="s">
        <v>49</v>
      </c>
      <c r="I229" s="7" t="s">
        <v>28</v>
      </c>
      <c r="J229" s="7" t="s">
        <v>705</v>
      </c>
      <c r="K229" s="7" t="s">
        <v>706</v>
      </c>
      <c r="L229" s="7" t="s">
        <v>704</v>
      </c>
      <c r="M229" s="7" t="s">
        <v>704</v>
      </c>
      <c r="N229" s="9" t="s">
        <v>92</v>
      </c>
      <c r="O229" s="9" t="s">
        <v>51</v>
      </c>
      <c r="P229" s="9" t="s">
        <v>34</v>
      </c>
      <c r="Q229" s="10" t="str">
        <f>IF(IDMaster[[#This Row],[Consumption]]="Consumption",IDMaster[[#This Row],[Consumption]],IDMaster[[#This Row],[Basis]])</f>
        <v>Total Headcount</v>
      </c>
      <c r="R229" s="7" t="str">
        <f>IDMaster[[#This Row],[Supported Group]]&amp;"."&amp;IDMaster[[#This Row],[Basis]]</f>
        <v>IT Infrastructure.Total Headcount</v>
      </c>
      <c r="S229" s="11">
        <v>0.69106036166058238</v>
      </c>
      <c r="T229" s="12">
        <v>0.14347567705238135</v>
      </c>
      <c r="U229" s="12">
        <v>0</v>
      </c>
      <c r="V229" s="12">
        <v>0</v>
      </c>
      <c r="W229" s="12">
        <v>0.16546396128703625</v>
      </c>
    </row>
    <row r="230" spans="1:23" x14ac:dyDescent="0.35">
      <c r="A230" s="7" t="s">
        <v>23</v>
      </c>
      <c r="B230" s="7" t="s">
        <v>707</v>
      </c>
      <c r="C230" s="7" t="s">
        <v>134</v>
      </c>
      <c r="D230" s="8"/>
      <c r="E230" s="7" t="s">
        <v>150</v>
      </c>
      <c r="F230" s="7" t="s">
        <v>350</v>
      </c>
      <c r="G230" s="7" t="s">
        <v>152</v>
      </c>
      <c r="H230" s="7" t="s">
        <v>49</v>
      </c>
      <c r="I230" s="7" t="s">
        <v>28</v>
      </c>
      <c r="J230" s="7" t="s">
        <v>348</v>
      </c>
      <c r="K230" s="7" t="s">
        <v>349</v>
      </c>
      <c r="L230" s="7" t="s">
        <v>350</v>
      </c>
      <c r="M230" s="7" t="s">
        <v>350</v>
      </c>
      <c r="N230" s="9" t="s">
        <v>92</v>
      </c>
      <c r="O230" s="9" t="s">
        <v>67</v>
      </c>
      <c r="P230" s="9" t="s">
        <v>34</v>
      </c>
      <c r="Q230" s="10" t="str">
        <f>IF(IDMaster[[#This Row],[Consumption]]="Consumption",IDMaster[[#This Row],[Consumption]],IDMaster[[#This Row],[Basis]])</f>
        <v>Total Headcount</v>
      </c>
      <c r="R230" s="7" t="str">
        <f>IDMaster[[#This Row],[Supported Group]]&amp;"."&amp;IDMaster[[#This Row],[Basis]]</f>
        <v>IT Corporate.Total Headcount</v>
      </c>
      <c r="S230" s="11">
        <v>0.69106036166058238</v>
      </c>
      <c r="T230" s="12">
        <v>0.14347567705238135</v>
      </c>
      <c r="U230" s="12">
        <v>0</v>
      </c>
      <c r="V230" s="12">
        <v>0</v>
      </c>
      <c r="W230" s="12">
        <v>0.16546396128703625</v>
      </c>
    </row>
    <row r="231" spans="1:23" x14ac:dyDescent="0.35">
      <c r="A231" s="7" t="s">
        <v>23</v>
      </c>
      <c r="B231" s="7" t="s">
        <v>708</v>
      </c>
      <c r="C231" s="7" t="s">
        <v>134</v>
      </c>
      <c r="D231" s="8"/>
      <c r="E231" s="7" t="s">
        <v>25</v>
      </c>
      <c r="F231" s="7" t="s">
        <v>350</v>
      </c>
      <c r="G231" s="7" t="s">
        <v>25</v>
      </c>
      <c r="H231" s="7" t="s">
        <v>49</v>
      </c>
      <c r="I231" s="7" t="s">
        <v>28</v>
      </c>
      <c r="J231" s="7" t="s">
        <v>348</v>
      </c>
      <c r="K231" s="7" t="s">
        <v>349</v>
      </c>
      <c r="L231" s="7" t="s">
        <v>350</v>
      </c>
      <c r="M231" s="7" t="s">
        <v>350</v>
      </c>
      <c r="N231" s="9" t="s">
        <v>92</v>
      </c>
      <c r="O231" s="9" t="s">
        <v>67</v>
      </c>
      <c r="P231" s="9" t="s">
        <v>34</v>
      </c>
      <c r="Q231" s="10" t="str">
        <f>IF(IDMaster[[#This Row],[Consumption]]="Consumption",IDMaster[[#This Row],[Consumption]],IDMaster[[#This Row],[Basis]])</f>
        <v>Total Headcount</v>
      </c>
      <c r="R231" s="7" t="str">
        <f>IDMaster[[#This Row],[Supported Group]]&amp;"."&amp;IDMaster[[#This Row],[Basis]]</f>
        <v>IT Corporate.Total Headcount</v>
      </c>
      <c r="S231" s="11">
        <v>0.69106036166058238</v>
      </c>
      <c r="T231" s="12">
        <v>0.14347567705238135</v>
      </c>
      <c r="U231" s="12">
        <v>0</v>
      </c>
      <c r="V231" s="12">
        <v>0</v>
      </c>
      <c r="W231" s="12">
        <v>0.16546396128703625</v>
      </c>
    </row>
    <row r="232" spans="1:23" x14ac:dyDescent="0.35">
      <c r="A232" s="7" t="s">
        <v>23</v>
      </c>
      <c r="B232" s="7" t="s">
        <v>709</v>
      </c>
      <c r="C232" s="7" t="s">
        <v>134</v>
      </c>
      <c r="D232" s="8"/>
      <c r="E232" s="7" t="s">
        <v>46</v>
      </c>
      <c r="F232" s="7" t="s">
        <v>627</v>
      </c>
      <c r="G232" s="7" t="s">
        <v>48</v>
      </c>
      <c r="H232" s="7" t="s">
        <v>27</v>
      </c>
      <c r="I232" s="7" t="s">
        <v>28</v>
      </c>
      <c r="J232" s="7" t="s">
        <v>710</v>
      </c>
      <c r="K232" s="7" t="s">
        <v>626</v>
      </c>
      <c r="L232" s="7" t="s">
        <v>627</v>
      </c>
      <c r="M232" s="7" t="s">
        <v>627</v>
      </c>
      <c r="N232" s="9" t="s">
        <v>92</v>
      </c>
      <c r="O232" s="9" t="s">
        <v>51</v>
      </c>
      <c r="P232" s="9" t="s">
        <v>34</v>
      </c>
      <c r="Q232" s="10" t="str">
        <f>IF(IDMaster[[#This Row],[Consumption]]="Consumption",IDMaster[[#This Row],[Consumption]],IDMaster[[#This Row],[Basis]])</f>
        <v>Total Headcount</v>
      </c>
      <c r="R232" s="7" t="str">
        <f>IDMaster[[#This Row],[Supported Group]]&amp;"."&amp;IDMaster[[#This Row],[Basis]]</f>
        <v>IT Infrastructure.Total Headcount</v>
      </c>
      <c r="S232" s="11">
        <v>0.69106036166058238</v>
      </c>
      <c r="T232" s="12">
        <v>0.14347567705238135</v>
      </c>
      <c r="U232" s="12">
        <v>0</v>
      </c>
      <c r="V232" s="12">
        <v>0</v>
      </c>
      <c r="W232" s="12">
        <v>0.16546396128703625</v>
      </c>
    </row>
    <row r="233" spans="1:23" x14ac:dyDescent="0.35">
      <c r="A233" s="7" t="s">
        <v>23</v>
      </c>
      <c r="B233" s="7" t="s">
        <v>711</v>
      </c>
      <c r="C233" s="7" t="s">
        <v>134</v>
      </c>
      <c r="D233" s="8"/>
      <c r="E233" s="7" t="s">
        <v>70</v>
      </c>
      <c r="F233" s="7" t="s">
        <v>30</v>
      </c>
      <c r="G233" s="7" t="s">
        <v>72</v>
      </c>
      <c r="H233" s="7" t="s">
        <v>27</v>
      </c>
      <c r="I233" s="7" t="s">
        <v>28</v>
      </c>
      <c r="J233" s="7" t="s">
        <v>137</v>
      </c>
      <c r="K233" s="7" t="s">
        <v>508</v>
      </c>
      <c r="L233" s="7" t="s">
        <v>30</v>
      </c>
      <c r="M233" s="7" t="s">
        <v>43</v>
      </c>
      <c r="N233" s="9" t="s">
        <v>32</v>
      </c>
      <c r="O233" s="9" t="s">
        <v>67</v>
      </c>
      <c r="P233" s="9" t="s">
        <v>34</v>
      </c>
      <c r="Q233" s="10" t="str">
        <f>IF(IDMaster[[#This Row],[Consumption]]="Consumption",IDMaster[[#This Row],[Consumption]],IDMaster[[#This Row],[Basis]])</f>
        <v>Revenue</v>
      </c>
      <c r="R233" s="7" t="str">
        <f>IDMaster[[#This Row],[Supported Group]]&amp;"."&amp;IDMaster[[#This Row],[Basis]]</f>
        <v>IT Corporate.Revenue</v>
      </c>
      <c r="S233" s="11">
        <v>0.42185161428265983</v>
      </c>
      <c r="T233" s="12">
        <v>0.57814838571734017</v>
      </c>
      <c r="U233" s="12">
        <v>0</v>
      </c>
      <c r="V233" s="12">
        <v>0</v>
      </c>
      <c r="W233" s="12">
        <v>0</v>
      </c>
    </row>
    <row r="234" spans="1:23" x14ac:dyDescent="0.35">
      <c r="A234" s="7" t="s">
        <v>23</v>
      </c>
      <c r="B234" s="7" t="s">
        <v>712</v>
      </c>
      <c r="C234" s="7" t="s">
        <v>134</v>
      </c>
      <c r="D234" s="8"/>
      <c r="E234" s="7" t="s">
        <v>584</v>
      </c>
      <c r="F234" s="7" t="s">
        <v>631</v>
      </c>
      <c r="G234" s="7" t="s">
        <v>55</v>
      </c>
      <c r="H234" s="7" t="s">
        <v>27</v>
      </c>
      <c r="I234" s="7" t="s">
        <v>28</v>
      </c>
      <c r="J234" s="7" t="s">
        <v>625</v>
      </c>
      <c r="K234" s="7" t="s">
        <v>713</v>
      </c>
      <c r="L234" s="7" t="s">
        <v>631</v>
      </c>
      <c r="M234" s="7" t="s">
        <v>43</v>
      </c>
      <c r="N234" s="9" t="s">
        <v>32</v>
      </c>
      <c r="O234" s="9" t="s">
        <v>67</v>
      </c>
      <c r="P234" s="9" t="s">
        <v>34</v>
      </c>
      <c r="Q234" s="10" t="str">
        <f>IF(IDMaster[[#This Row],[Consumption]]="Consumption",IDMaster[[#This Row],[Consumption]],IDMaster[[#This Row],[Basis]])</f>
        <v>Revenue</v>
      </c>
      <c r="R234" s="7" t="str">
        <f>IDMaster[[#This Row],[Supported Group]]&amp;"."&amp;IDMaster[[#This Row],[Basis]]</f>
        <v>IT Corporate.Revenue</v>
      </c>
      <c r="S234" s="11">
        <v>0.42185161428265983</v>
      </c>
      <c r="T234" s="12">
        <v>0.57814838571734017</v>
      </c>
      <c r="U234" s="12">
        <v>0</v>
      </c>
      <c r="V234" s="12">
        <v>0</v>
      </c>
      <c r="W234" s="12">
        <v>0</v>
      </c>
    </row>
    <row r="235" spans="1:23" x14ac:dyDescent="0.35">
      <c r="A235" s="7" t="s">
        <v>23</v>
      </c>
      <c r="B235" s="7" t="s">
        <v>714</v>
      </c>
      <c r="C235" s="7" t="s">
        <v>715</v>
      </c>
      <c r="D235" s="8">
        <v>369683</v>
      </c>
      <c r="E235" s="7" t="s">
        <v>46</v>
      </c>
      <c r="F235" s="7" t="s">
        <v>716</v>
      </c>
      <c r="G235" s="7" t="s">
        <v>48</v>
      </c>
      <c r="H235" s="7" t="s">
        <v>39</v>
      </c>
      <c r="I235" s="7" t="s">
        <v>123</v>
      </c>
      <c r="J235" s="7" t="s">
        <v>267</v>
      </c>
      <c r="K235" s="7" t="s">
        <v>690</v>
      </c>
      <c r="L235" s="7" t="s">
        <v>691</v>
      </c>
      <c r="M235" s="7" t="s">
        <v>43</v>
      </c>
      <c r="N235" s="9" t="s">
        <v>126</v>
      </c>
      <c r="O235" s="9" t="s">
        <v>538</v>
      </c>
      <c r="P235" s="9" t="s">
        <v>34</v>
      </c>
      <c r="Q235" s="10" t="str">
        <f>IF(IDMaster[[#This Row],[Consumption]]="Consumption",IDMaster[[#This Row],[Consumption]],IDMaster[[#This Row],[Basis]])</f>
        <v>RAC Direct</v>
      </c>
      <c r="R235" s="7" t="str">
        <f>IDMaster[[#This Row],[Supported Group]]&amp;"."&amp;IDMaster[[#This Row],[Basis]]</f>
        <v>RAC.RAC Direct</v>
      </c>
      <c r="S235" s="11">
        <v>1</v>
      </c>
      <c r="T235" s="12">
        <v>0</v>
      </c>
      <c r="U235" s="12">
        <v>0</v>
      </c>
      <c r="V235" s="12">
        <v>0</v>
      </c>
      <c r="W235" s="12">
        <v>0</v>
      </c>
    </row>
    <row r="236" spans="1:23" x14ac:dyDescent="0.35">
      <c r="A236" s="7" t="s">
        <v>23</v>
      </c>
      <c r="B236" s="7" t="s">
        <v>717</v>
      </c>
      <c r="C236" s="7" t="s">
        <v>226</v>
      </c>
      <c r="D236" s="8">
        <v>259622</v>
      </c>
      <c r="E236" s="7" t="s">
        <v>227</v>
      </c>
      <c r="F236" s="7" t="s">
        <v>229</v>
      </c>
      <c r="G236" s="7" t="s">
        <v>48</v>
      </c>
      <c r="H236" s="7" t="s">
        <v>39</v>
      </c>
      <c r="I236" s="7" t="s">
        <v>123</v>
      </c>
      <c r="J236" s="7" t="s">
        <v>40</v>
      </c>
      <c r="K236" s="7" t="s">
        <v>80</v>
      </c>
      <c r="L236" s="7" t="s">
        <v>42</v>
      </c>
      <c r="M236" s="7" t="s">
        <v>229</v>
      </c>
      <c r="N236" s="9" t="s">
        <v>126</v>
      </c>
      <c r="O236" s="9" t="s">
        <v>33</v>
      </c>
      <c r="P236" s="9" t="s">
        <v>34</v>
      </c>
      <c r="Q236" s="10" t="str">
        <f>IF(IDMaster[[#This Row],[Consumption]]="Consumption",IDMaster[[#This Row],[Consumption]],IDMaster[[#This Row],[Basis]])</f>
        <v>RAC Direct</v>
      </c>
      <c r="R236" s="7" t="str">
        <f>IDMaster[[#This Row],[Supported Group]]&amp;"."&amp;IDMaster[[#This Row],[Basis]]</f>
        <v>IT Tools.RAC Direct</v>
      </c>
      <c r="S236" s="11">
        <v>1</v>
      </c>
      <c r="T236" s="12">
        <v>0</v>
      </c>
      <c r="U236" s="12">
        <v>0</v>
      </c>
      <c r="V236" s="12">
        <v>0</v>
      </c>
      <c r="W236" s="12">
        <v>0</v>
      </c>
    </row>
    <row r="237" spans="1:23" x14ac:dyDescent="0.35">
      <c r="A237" s="7" t="s">
        <v>23</v>
      </c>
      <c r="B237" s="7" t="s">
        <v>718</v>
      </c>
      <c r="C237" s="7" t="s">
        <v>226</v>
      </c>
      <c r="D237" s="8">
        <v>259622</v>
      </c>
      <c r="E237" s="7" t="s">
        <v>227</v>
      </c>
      <c r="F237" s="7" t="s">
        <v>719</v>
      </c>
      <c r="G237" s="7" t="s">
        <v>48</v>
      </c>
      <c r="H237" s="7" t="s">
        <v>39</v>
      </c>
      <c r="I237" s="7" t="s">
        <v>123</v>
      </c>
      <c r="J237" s="7" t="s">
        <v>40</v>
      </c>
      <c r="K237" s="7" t="s">
        <v>80</v>
      </c>
      <c r="L237" s="7" t="s">
        <v>42</v>
      </c>
      <c r="M237" s="7" t="s">
        <v>719</v>
      </c>
      <c r="N237" s="9" t="s">
        <v>446</v>
      </c>
      <c r="O237" s="9" t="s">
        <v>33</v>
      </c>
      <c r="P237" s="9" t="s">
        <v>34</v>
      </c>
      <c r="Q237" s="10" t="str">
        <f>IF(IDMaster[[#This Row],[Consumption]]="Consumption",IDMaster[[#This Row],[Consumption]],IDMaster[[#This Row],[Basis]])</f>
        <v>Acima Direct</v>
      </c>
      <c r="R237" s="7" t="str">
        <f>IDMaster[[#This Row],[Supported Group]]&amp;"."&amp;IDMaster[[#This Row],[Basis]]</f>
        <v>IT Tools.Acima Direct</v>
      </c>
      <c r="S237" s="11">
        <v>0</v>
      </c>
      <c r="T237" s="12">
        <v>1</v>
      </c>
      <c r="U237" s="12">
        <v>0</v>
      </c>
      <c r="V237" s="12">
        <v>0</v>
      </c>
      <c r="W237" s="12">
        <v>0</v>
      </c>
    </row>
    <row r="238" spans="1:23" x14ac:dyDescent="0.35">
      <c r="A238" s="7" t="s">
        <v>23</v>
      </c>
      <c r="B238" s="7" t="s">
        <v>720</v>
      </c>
      <c r="C238" s="7" t="s">
        <v>280</v>
      </c>
      <c r="D238" s="8">
        <v>365729</v>
      </c>
      <c r="E238" s="7" t="s">
        <v>95</v>
      </c>
      <c r="F238" s="7" t="s">
        <v>721</v>
      </c>
      <c r="G238" s="7" t="s">
        <v>97</v>
      </c>
      <c r="H238" s="7" t="s">
        <v>27</v>
      </c>
      <c r="I238" s="7" t="s">
        <v>28</v>
      </c>
      <c r="J238" s="7" t="s">
        <v>137</v>
      </c>
      <c r="K238" s="7" t="s">
        <v>63</v>
      </c>
      <c r="L238" s="7" t="s">
        <v>30</v>
      </c>
      <c r="M238" s="7" t="s">
        <v>722</v>
      </c>
      <c r="N238" s="9" t="s">
        <v>32</v>
      </c>
      <c r="O238" s="9" t="s">
        <v>99</v>
      </c>
      <c r="P238" s="9" t="s">
        <v>34</v>
      </c>
      <c r="Q238" s="10" t="str">
        <f>IF(IDMaster[[#This Row],[Consumption]]="Consumption",IDMaster[[#This Row],[Consumption]],IDMaster[[#This Row],[Basis]])</f>
        <v>Revenue</v>
      </c>
      <c r="R238" s="7" t="str">
        <f>IDMaster[[#This Row],[Supported Group]]&amp;"."&amp;IDMaster[[#This Row],[Basis]]</f>
        <v>Security.Revenue</v>
      </c>
      <c r="S238" s="11">
        <v>0.42185161428265983</v>
      </c>
      <c r="T238" s="12">
        <v>0.57814838571734017</v>
      </c>
      <c r="U238" s="12">
        <v>0</v>
      </c>
      <c r="V238" s="12">
        <v>0</v>
      </c>
      <c r="W238" s="12">
        <v>0</v>
      </c>
    </row>
    <row r="239" spans="1:23" x14ac:dyDescent="0.35">
      <c r="A239" s="7" t="s">
        <v>23</v>
      </c>
      <c r="B239" s="7" t="s">
        <v>723</v>
      </c>
      <c r="C239" s="7" t="s">
        <v>724</v>
      </c>
      <c r="D239" s="8" t="s">
        <v>725</v>
      </c>
      <c r="E239" s="7" t="s">
        <v>53</v>
      </c>
      <c r="F239" s="7" t="s">
        <v>726</v>
      </c>
      <c r="G239" s="7" t="s">
        <v>55</v>
      </c>
      <c r="H239" s="7" t="s">
        <v>27</v>
      </c>
      <c r="I239" s="7" t="s">
        <v>28</v>
      </c>
      <c r="J239" s="7" t="s">
        <v>137</v>
      </c>
      <c r="K239" s="7" t="s">
        <v>508</v>
      </c>
      <c r="L239" s="7" t="s">
        <v>30</v>
      </c>
      <c r="M239" s="7" t="s">
        <v>726</v>
      </c>
      <c r="N239" s="9" t="s">
        <v>32</v>
      </c>
      <c r="O239" s="9" t="s">
        <v>195</v>
      </c>
      <c r="P239" s="9" t="s">
        <v>34</v>
      </c>
      <c r="Q239" s="10" t="str">
        <f>IF(IDMaster[[#This Row],[Consumption]]="Consumption",IDMaster[[#This Row],[Consumption]],IDMaster[[#This Row],[Basis]])</f>
        <v>Revenue</v>
      </c>
      <c r="R239" s="7" t="str">
        <f>IDMaster[[#This Row],[Supported Group]]&amp;"."&amp;IDMaster[[#This Row],[Basis]]</f>
        <v>External Labor.Revenue</v>
      </c>
      <c r="S239" s="11">
        <v>0.42185161428265983</v>
      </c>
      <c r="T239" s="12">
        <v>0.57814838571734017</v>
      </c>
      <c r="U239" s="12">
        <v>0</v>
      </c>
      <c r="V239" s="12">
        <v>0</v>
      </c>
      <c r="W239" s="12">
        <v>0</v>
      </c>
    </row>
    <row r="240" spans="1:23" x14ac:dyDescent="0.35">
      <c r="A240" s="7" t="s">
        <v>23</v>
      </c>
      <c r="B240" s="7" t="s">
        <v>727</v>
      </c>
      <c r="C240" s="7" t="s">
        <v>388</v>
      </c>
      <c r="D240" s="8">
        <v>368877</v>
      </c>
      <c r="E240" s="7" t="s">
        <v>95</v>
      </c>
      <c r="F240" s="7" t="s">
        <v>728</v>
      </c>
      <c r="G240" s="7" t="s">
        <v>97</v>
      </c>
      <c r="H240" s="7" t="s">
        <v>27</v>
      </c>
      <c r="I240" s="7" t="s">
        <v>28</v>
      </c>
      <c r="J240" s="7" t="s">
        <v>40</v>
      </c>
      <c r="K240" s="7" t="s">
        <v>80</v>
      </c>
      <c r="L240" s="7" t="s">
        <v>42</v>
      </c>
      <c r="M240" s="7" t="s">
        <v>729</v>
      </c>
      <c r="N240" s="9" t="s">
        <v>32</v>
      </c>
      <c r="O240" s="9" t="s">
        <v>99</v>
      </c>
      <c r="P240" s="9" t="s">
        <v>34</v>
      </c>
      <c r="Q240" s="10" t="str">
        <f>IF(IDMaster[[#This Row],[Consumption]]="Consumption",IDMaster[[#This Row],[Consumption]],IDMaster[[#This Row],[Basis]])</f>
        <v>Revenue</v>
      </c>
      <c r="R240" s="7" t="str">
        <f>IDMaster[[#This Row],[Supported Group]]&amp;"."&amp;IDMaster[[#This Row],[Basis]]</f>
        <v>Security.Revenue</v>
      </c>
      <c r="S240" s="11">
        <v>0.42185161428265983</v>
      </c>
      <c r="T240" s="12">
        <v>0.57814838571734017</v>
      </c>
      <c r="U240" s="12">
        <v>0</v>
      </c>
      <c r="V240" s="12">
        <v>0</v>
      </c>
      <c r="W240" s="12">
        <v>0</v>
      </c>
    </row>
    <row r="241" spans="1:23" x14ac:dyDescent="0.35">
      <c r="A241" s="7" t="s">
        <v>23</v>
      </c>
      <c r="B241" s="7" t="s">
        <v>730</v>
      </c>
      <c r="C241" s="7" t="s">
        <v>731</v>
      </c>
      <c r="D241" s="8" t="s">
        <v>725</v>
      </c>
      <c r="E241" s="7" t="s">
        <v>95</v>
      </c>
      <c r="F241" s="7" t="s">
        <v>732</v>
      </c>
      <c r="G241" s="7" t="s">
        <v>97</v>
      </c>
      <c r="H241" s="7" t="s">
        <v>27</v>
      </c>
      <c r="I241" s="7" t="s">
        <v>28</v>
      </c>
      <c r="J241" s="7" t="s">
        <v>40</v>
      </c>
      <c r="K241" s="7" t="s">
        <v>41</v>
      </c>
      <c r="L241" s="7" t="s">
        <v>42</v>
      </c>
      <c r="M241" s="7" t="s">
        <v>732</v>
      </c>
      <c r="N241" s="9" t="s">
        <v>32</v>
      </c>
      <c r="O241" s="9" t="s">
        <v>99</v>
      </c>
      <c r="P241" s="9" t="s">
        <v>34</v>
      </c>
      <c r="Q241" s="10" t="str">
        <f>IF(IDMaster[[#This Row],[Consumption]]="Consumption",IDMaster[[#This Row],[Consumption]],IDMaster[[#This Row],[Basis]])</f>
        <v>Revenue</v>
      </c>
      <c r="R241" s="7" t="str">
        <f>IDMaster[[#This Row],[Supported Group]]&amp;"."&amp;IDMaster[[#This Row],[Basis]]</f>
        <v>Security.Revenue</v>
      </c>
      <c r="S241" s="11">
        <v>0.42185161428265983</v>
      </c>
      <c r="T241" s="12">
        <v>0.57814838571734017</v>
      </c>
      <c r="U241" s="12">
        <v>0</v>
      </c>
      <c r="V241" s="12">
        <v>0</v>
      </c>
      <c r="W241" s="12">
        <v>0</v>
      </c>
    </row>
    <row r="242" spans="1:23" x14ac:dyDescent="0.35">
      <c r="A242" s="7" t="s">
        <v>23</v>
      </c>
      <c r="B242" s="7" t="s">
        <v>733</v>
      </c>
      <c r="C242" s="7" t="s">
        <v>326</v>
      </c>
      <c r="D242" s="8">
        <v>178105</v>
      </c>
      <c r="E242" s="7" t="s">
        <v>95</v>
      </c>
      <c r="F242" s="7" t="s">
        <v>734</v>
      </c>
      <c r="G242" s="7" t="s">
        <v>97</v>
      </c>
      <c r="H242" s="7" t="s">
        <v>27</v>
      </c>
      <c r="I242" s="7" t="s">
        <v>28</v>
      </c>
      <c r="J242" s="7" t="s">
        <v>40</v>
      </c>
      <c r="K242" s="7" t="s">
        <v>80</v>
      </c>
      <c r="L242" s="7" t="s">
        <v>42</v>
      </c>
      <c r="M242" s="7" t="s">
        <v>735</v>
      </c>
      <c r="N242" s="9" t="s">
        <v>32</v>
      </c>
      <c r="O242" s="9" t="s">
        <v>99</v>
      </c>
      <c r="P242" s="9" t="s">
        <v>34</v>
      </c>
      <c r="Q242" s="10" t="str">
        <f>IF(IDMaster[[#This Row],[Consumption]]="Consumption",IDMaster[[#This Row],[Consumption]],IDMaster[[#This Row],[Basis]])</f>
        <v>Revenue</v>
      </c>
      <c r="R242" s="7" t="str">
        <f>IDMaster[[#This Row],[Supported Group]]&amp;"."&amp;IDMaster[[#This Row],[Basis]]</f>
        <v>Security.Revenue</v>
      </c>
      <c r="S242" s="11">
        <v>0.42185161428265983</v>
      </c>
      <c r="T242" s="12">
        <v>0.57814838571734017</v>
      </c>
      <c r="U242" s="12">
        <v>0</v>
      </c>
      <c r="V242" s="12">
        <v>0</v>
      </c>
      <c r="W242" s="12">
        <v>0</v>
      </c>
    </row>
    <row r="243" spans="1:23" x14ac:dyDescent="0.35">
      <c r="A243" s="7" t="s">
        <v>23</v>
      </c>
      <c r="B243" s="7" t="s">
        <v>736</v>
      </c>
      <c r="C243" s="7" t="s">
        <v>388</v>
      </c>
      <c r="D243" s="8" t="s">
        <v>725</v>
      </c>
      <c r="E243" s="7" t="s">
        <v>95</v>
      </c>
      <c r="F243" s="7" t="s">
        <v>737</v>
      </c>
      <c r="G243" s="7" t="s">
        <v>97</v>
      </c>
      <c r="H243" s="7" t="s">
        <v>27</v>
      </c>
      <c r="I243" s="7" t="s">
        <v>28</v>
      </c>
      <c r="J243" s="7" t="s">
        <v>40</v>
      </c>
      <c r="K243" s="7" t="s">
        <v>80</v>
      </c>
      <c r="L243" s="7" t="s">
        <v>42</v>
      </c>
      <c r="M243" s="7" t="s">
        <v>738</v>
      </c>
      <c r="N243" s="9" t="s">
        <v>32</v>
      </c>
      <c r="O243" s="9" t="s">
        <v>99</v>
      </c>
      <c r="P243" s="9" t="s">
        <v>34</v>
      </c>
      <c r="Q243" s="10" t="str">
        <f>IF(IDMaster[[#This Row],[Consumption]]="Consumption",IDMaster[[#This Row],[Consumption]],IDMaster[[#This Row],[Basis]])</f>
        <v>Revenue</v>
      </c>
      <c r="R243" s="7" t="str">
        <f>IDMaster[[#This Row],[Supported Group]]&amp;"."&amp;IDMaster[[#This Row],[Basis]]</f>
        <v>Security.Revenue</v>
      </c>
      <c r="S243" s="11">
        <v>0.42185161428265983</v>
      </c>
      <c r="T243" s="12">
        <v>0.57814838571734017</v>
      </c>
      <c r="U243" s="12">
        <v>0</v>
      </c>
      <c r="V243" s="12">
        <v>0</v>
      </c>
      <c r="W243" s="12">
        <v>0</v>
      </c>
    </row>
    <row r="244" spans="1:23" x14ac:dyDescent="0.35">
      <c r="A244" s="7" t="s">
        <v>23</v>
      </c>
      <c r="B244" s="7" t="s">
        <v>739</v>
      </c>
      <c r="C244" s="7" t="s">
        <v>740</v>
      </c>
      <c r="D244" s="8" t="s">
        <v>725</v>
      </c>
      <c r="E244" s="7" t="s">
        <v>95</v>
      </c>
      <c r="F244" s="7" t="s">
        <v>741</v>
      </c>
      <c r="G244" s="7" t="s">
        <v>97</v>
      </c>
      <c r="H244" s="7" t="s">
        <v>27</v>
      </c>
      <c r="I244" s="7" t="s">
        <v>28</v>
      </c>
      <c r="J244" s="7" t="s">
        <v>137</v>
      </c>
      <c r="K244" s="7" t="s">
        <v>63</v>
      </c>
      <c r="L244" s="7" t="s">
        <v>30</v>
      </c>
      <c r="M244" s="7" t="s">
        <v>742</v>
      </c>
      <c r="N244" s="9" t="s">
        <v>32</v>
      </c>
      <c r="O244" s="9" t="s">
        <v>99</v>
      </c>
      <c r="P244" s="9" t="s">
        <v>34</v>
      </c>
      <c r="Q244" s="10" t="str">
        <f>IF(IDMaster[[#This Row],[Consumption]]="Consumption",IDMaster[[#This Row],[Consumption]],IDMaster[[#This Row],[Basis]])</f>
        <v>Revenue</v>
      </c>
      <c r="R244" s="7" t="str">
        <f>IDMaster[[#This Row],[Supported Group]]&amp;"."&amp;IDMaster[[#This Row],[Basis]]</f>
        <v>Security.Revenue</v>
      </c>
      <c r="S244" s="11">
        <v>0.42185161428265983</v>
      </c>
      <c r="T244" s="12">
        <v>0.57814838571734017</v>
      </c>
      <c r="U244" s="12">
        <v>0</v>
      </c>
      <c r="V244" s="12">
        <v>0</v>
      </c>
      <c r="W244" s="12">
        <v>0</v>
      </c>
    </row>
    <row r="245" spans="1:23" x14ac:dyDescent="0.35">
      <c r="A245" s="7" t="s">
        <v>23</v>
      </c>
      <c r="B245" s="7" t="s">
        <v>743</v>
      </c>
      <c r="C245" s="7" t="s">
        <v>280</v>
      </c>
      <c r="D245" s="8">
        <v>365729</v>
      </c>
      <c r="E245" s="7" t="s">
        <v>95</v>
      </c>
      <c r="F245" s="7" t="s">
        <v>744</v>
      </c>
      <c r="G245" s="7" t="s">
        <v>97</v>
      </c>
      <c r="H245" s="7" t="s">
        <v>27</v>
      </c>
      <c r="I245" s="7" t="s">
        <v>28</v>
      </c>
      <c r="J245" s="7" t="s">
        <v>137</v>
      </c>
      <c r="K245" s="7" t="s">
        <v>63</v>
      </c>
      <c r="L245" s="7" t="s">
        <v>30</v>
      </c>
      <c r="M245" s="7" t="s">
        <v>43</v>
      </c>
      <c r="N245" s="9" t="s">
        <v>32</v>
      </c>
      <c r="O245" s="9" t="s">
        <v>99</v>
      </c>
      <c r="P245" s="9" t="s">
        <v>34</v>
      </c>
      <c r="Q245" s="10" t="str">
        <f>IF(IDMaster[[#This Row],[Consumption]]="Consumption",IDMaster[[#This Row],[Consumption]],IDMaster[[#This Row],[Basis]])</f>
        <v>Revenue</v>
      </c>
      <c r="R245" s="7" t="str">
        <f>IDMaster[[#This Row],[Supported Group]]&amp;"."&amp;IDMaster[[#This Row],[Basis]]</f>
        <v>Security.Revenue</v>
      </c>
      <c r="S245" s="11">
        <v>0.42185161428265983</v>
      </c>
      <c r="T245" s="12">
        <v>0.57814838571734017</v>
      </c>
      <c r="U245" s="12">
        <v>0</v>
      </c>
      <c r="V245" s="12">
        <v>0</v>
      </c>
      <c r="W245" s="12">
        <v>0</v>
      </c>
    </row>
    <row r="246" spans="1:23" x14ac:dyDescent="0.35">
      <c r="A246" s="7" t="s">
        <v>23</v>
      </c>
      <c r="B246" s="7" t="s">
        <v>745</v>
      </c>
      <c r="C246" s="7" t="s">
        <v>388</v>
      </c>
      <c r="D246" s="8" t="s">
        <v>725</v>
      </c>
      <c r="E246" s="7" t="s">
        <v>95</v>
      </c>
      <c r="F246" s="7" t="s">
        <v>746</v>
      </c>
      <c r="G246" s="7" t="s">
        <v>97</v>
      </c>
      <c r="H246" s="7" t="s">
        <v>27</v>
      </c>
      <c r="I246" s="7" t="s">
        <v>28</v>
      </c>
      <c r="J246" s="7" t="s">
        <v>40</v>
      </c>
      <c r="K246" s="7" t="s">
        <v>80</v>
      </c>
      <c r="L246" s="7" t="s">
        <v>42</v>
      </c>
      <c r="M246" s="7" t="s">
        <v>747</v>
      </c>
      <c r="N246" s="9" t="s">
        <v>32</v>
      </c>
      <c r="O246" s="9" t="s">
        <v>99</v>
      </c>
      <c r="P246" s="9" t="s">
        <v>34</v>
      </c>
      <c r="Q246" s="10" t="str">
        <f>IF(IDMaster[[#This Row],[Consumption]]="Consumption",IDMaster[[#This Row],[Consumption]],IDMaster[[#This Row],[Basis]])</f>
        <v>Revenue</v>
      </c>
      <c r="R246" s="7" t="str">
        <f>IDMaster[[#This Row],[Supported Group]]&amp;"."&amp;IDMaster[[#This Row],[Basis]]</f>
        <v>Security.Revenue</v>
      </c>
      <c r="S246" s="11">
        <v>0.42185161428265983</v>
      </c>
      <c r="T246" s="12">
        <v>0.57814838571734017</v>
      </c>
      <c r="U246" s="12">
        <v>0</v>
      </c>
      <c r="V246" s="12">
        <v>0</v>
      </c>
      <c r="W246" s="12">
        <v>0</v>
      </c>
    </row>
    <row r="247" spans="1:23" x14ac:dyDescent="0.35">
      <c r="A247" s="7" t="s">
        <v>23</v>
      </c>
      <c r="B247" s="7" t="s">
        <v>748</v>
      </c>
      <c r="C247" s="7" t="s">
        <v>749</v>
      </c>
      <c r="D247" s="8" t="s">
        <v>725</v>
      </c>
      <c r="E247" s="7" t="s">
        <v>95</v>
      </c>
      <c r="F247" s="7" t="s">
        <v>749</v>
      </c>
      <c r="G247" s="7" t="s">
        <v>97</v>
      </c>
      <c r="H247" s="7" t="s">
        <v>27</v>
      </c>
      <c r="I247" s="7" t="s">
        <v>28</v>
      </c>
      <c r="J247" s="7" t="s">
        <v>40</v>
      </c>
      <c r="K247" s="7" t="s">
        <v>80</v>
      </c>
      <c r="L247" s="7" t="s">
        <v>42</v>
      </c>
      <c r="M247" s="7" t="s">
        <v>43</v>
      </c>
      <c r="N247" s="9" t="s">
        <v>32</v>
      </c>
      <c r="O247" s="9" t="s">
        <v>99</v>
      </c>
      <c r="P247" s="9" t="s">
        <v>34</v>
      </c>
      <c r="Q247" s="10" t="str">
        <f>IF(IDMaster[[#This Row],[Consumption]]="Consumption",IDMaster[[#This Row],[Consumption]],IDMaster[[#This Row],[Basis]])</f>
        <v>Revenue</v>
      </c>
      <c r="R247" s="7" t="str">
        <f>IDMaster[[#This Row],[Supported Group]]&amp;"."&amp;IDMaster[[#This Row],[Basis]]</f>
        <v>Security.Revenue</v>
      </c>
      <c r="S247" s="11">
        <v>0.42185161428265983</v>
      </c>
      <c r="T247" s="12">
        <v>0.57814838571734017</v>
      </c>
      <c r="U247" s="12">
        <v>0</v>
      </c>
      <c r="V247" s="12">
        <v>0</v>
      </c>
      <c r="W247" s="12">
        <v>0</v>
      </c>
    </row>
    <row r="248" spans="1:23" x14ac:dyDescent="0.35">
      <c r="A248" s="7" t="s">
        <v>23</v>
      </c>
      <c r="B248" s="7" t="s">
        <v>750</v>
      </c>
      <c r="C248" s="7" t="s">
        <v>751</v>
      </c>
      <c r="D248" s="8" t="s">
        <v>725</v>
      </c>
      <c r="E248" s="7" t="s">
        <v>95</v>
      </c>
      <c r="F248" s="7" t="s">
        <v>752</v>
      </c>
      <c r="G248" s="7" t="s">
        <v>97</v>
      </c>
      <c r="H248" s="7" t="s">
        <v>27</v>
      </c>
      <c r="I248" s="7" t="s">
        <v>28</v>
      </c>
      <c r="J248" s="7" t="s">
        <v>40</v>
      </c>
      <c r="K248" s="7" t="s">
        <v>80</v>
      </c>
      <c r="L248" s="7" t="s">
        <v>42</v>
      </c>
      <c r="M248" s="7" t="s">
        <v>753</v>
      </c>
      <c r="N248" s="9" t="s">
        <v>32</v>
      </c>
      <c r="O248" s="9" t="s">
        <v>99</v>
      </c>
      <c r="P248" s="9" t="s">
        <v>34</v>
      </c>
      <c r="Q248" s="10" t="str">
        <f>IF(IDMaster[[#This Row],[Consumption]]="Consumption",IDMaster[[#This Row],[Consumption]],IDMaster[[#This Row],[Basis]])</f>
        <v>Revenue</v>
      </c>
      <c r="R248" s="7" t="str">
        <f>IDMaster[[#This Row],[Supported Group]]&amp;"."&amp;IDMaster[[#This Row],[Basis]]</f>
        <v>Security.Revenue</v>
      </c>
      <c r="S248" s="11">
        <v>0.42185161428265983</v>
      </c>
      <c r="T248" s="12">
        <v>0.57814838571734017</v>
      </c>
      <c r="U248" s="12">
        <v>0</v>
      </c>
      <c r="V248" s="12">
        <v>0</v>
      </c>
      <c r="W248" s="12">
        <v>0</v>
      </c>
    </row>
    <row r="249" spans="1:23" x14ac:dyDescent="0.35">
      <c r="A249" s="7" t="s">
        <v>23</v>
      </c>
      <c r="B249" s="7" t="s">
        <v>754</v>
      </c>
      <c r="C249" s="7" t="s">
        <v>755</v>
      </c>
      <c r="D249" s="8" t="s">
        <v>725</v>
      </c>
      <c r="E249" s="7" t="s">
        <v>95</v>
      </c>
      <c r="F249" s="7" t="s">
        <v>755</v>
      </c>
      <c r="G249" s="7" t="s">
        <v>97</v>
      </c>
      <c r="H249" s="7" t="s">
        <v>27</v>
      </c>
      <c r="I249" s="7" t="s">
        <v>28</v>
      </c>
      <c r="J249" s="7" t="s">
        <v>40</v>
      </c>
      <c r="K249" s="7" t="s">
        <v>41</v>
      </c>
      <c r="L249" s="7" t="s">
        <v>42</v>
      </c>
      <c r="M249" s="7" t="s">
        <v>43</v>
      </c>
      <c r="N249" s="9" t="s">
        <v>32</v>
      </c>
      <c r="O249" s="9" t="s">
        <v>99</v>
      </c>
      <c r="P249" s="9" t="s">
        <v>34</v>
      </c>
      <c r="Q249" s="10" t="str">
        <f>IF(IDMaster[[#This Row],[Consumption]]="Consumption",IDMaster[[#This Row],[Consumption]],IDMaster[[#This Row],[Basis]])</f>
        <v>Revenue</v>
      </c>
      <c r="R249" s="7" t="str">
        <f>IDMaster[[#This Row],[Supported Group]]&amp;"."&amp;IDMaster[[#This Row],[Basis]]</f>
        <v>Security.Revenue</v>
      </c>
      <c r="S249" s="11">
        <v>0.42185161428265983</v>
      </c>
      <c r="T249" s="12">
        <v>0.57814838571734017</v>
      </c>
      <c r="U249" s="12">
        <v>0</v>
      </c>
      <c r="V249" s="12">
        <v>0</v>
      </c>
      <c r="W249" s="12">
        <v>0</v>
      </c>
    </row>
    <row r="250" spans="1:23" x14ac:dyDescent="0.35">
      <c r="A250" s="7" t="s">
        <v>23</v>
      </c>
      <c r="B250" s="7" t="s">
        <v>756</v>
      </c>
      <c r="C250" s="7" t="s">
        <v>757</v>
      </c>
      <c r="D250" s="8" t="s">
        <v>725</v>
      </c>
      <c r="E250" s="7" t="s">
        <v>95</v>
      </c>
      <c r="F250" s="7" t="s">
        <v>758</v>
      </c>
      <c r="G250" s="7" t="s">
        <v>97</v>
      </c>
      <c r="H250" s="7" t="s">
        <v>27</v>
      </c>
      <c r="I250" s="7" t="s">
        <v>28</v>
      </c>
      <c r="J250" s="7" t="s">
        <v>137</v>
      </c>
      <c r="K250" s="7" t="s">
        <v>713</v>
      </c>
      <c r="L250" s="7" t="s">
        <v>631</v>
      </c>
      <c r="M250" s="7" t="s">
        <v>758</v>
      </c>
      <c r="N250" s="9" t="s">
        <v>32</v>
      </c>
      <c r="O250" s="9" t="s">
        <v>99</v>
      </c>
      <c r="P250" s="9" t="s">
        <v>34</v>
      </c>
      <c r="Q250" s="10" t="str">
        <f>IF(IDMaster[[#This Row],[Consumption]]="Consumption",IDMaster[[#This Row],[Consumption]],IDMaster[[#This Row],[Basis]])</f>
        <v>Revenue</v>
      </c>
      <c r="R250" s="7" t="str">
        <f>IDMaster[[#This Row],[Supported Group]]&amp;"."&amp;IDMaster[[#This Row],[Basis]]</f>
        <v>Security.Revenue</v>
      </c>
      <c r="S250" s="11">
        <v>0.42185161428265983</v>
      </c>
      <c r="T250" s="12">
        <v>0.57814838571734017</v>
      </c>
      <c r="U250" s="12">
        <v>0</v>
      </c>
      <c r="V250" s="12">
        <v>0</v>
      </c>
      <c r="W250" s="12">
        <v>0</v>
      </c>
    </row>
    <row r="251" spans="1:23" x14ac:dyDescent="0.35">
      <c r="A251" s="7" t="s">
        <v>23</v>
      </c>
      <c r="B251" s="7" t="s">
        <v>759</v>
      </c>
      <c r="C251" s="7" t="s">
        <v>215</v>
      </c>
      <c r="D251" s="8">
        <v>317646</v>
      </c>
      <c r="E251" s="7" t="s">
        <v>46</v>
      </c>
      <c r="F251" s="7" t="s">
        <v>760</v>
      </c>
      <c r="G251" s="7" t="s">
        <v>48</v>
      </c>
      <c r="H251" s="7" t="s">
        <v>27</v>
      </c>
      <c r="I251" s="7" t="s">
        <v>123</v>
      </c>
      <c r="J251" s="7" t="s">
        <v>40</v>
      </c>
      <c r="K251" s="7" t="s">
        <v>63</v>
      </c>
      <c r="L251" s="7" t="s">
        <v>30</v>
      </c>
      <c r="M251" s="7" t="s">
        <v>761</v>
      </c>
      <c r="N251" s="9" t="s">
        <v>32</v>
      </c>
      <c r="O251" s="9" t="s">
        <v>33</v>
      </c>
      <c r="P251" s="9" t="s">
        <v>34</v>
      </c>
      <c r="Q251" s="10" t="str">
        <f>IF(IDMaster[[#This Row],[Consumption]]="Consumption",IDMaster[[#This Row],[Consumption]],IDMaster[[#This Row],[Basis]])</f>
        <v>Revenue</v>
      </c>
      <c r="R251" s="7" t="str">
        <f>IDMaster[[#This Row],[Supported Group]]&amp;"."&amp;IDMaster[[#This Row],[Basis]]</f>
        <v>IT Tools.Revenue</v>
      </c>
      <c r="S251" s="11">
        <v>0.42185161428265983</v>
      </c>
      <c r="T251" s="12">
        <v>0.57814838571734017</v>
      </c>
      <c r="U251" s="12">
        <v>0</v>
      </c>
      <c r="V251" s="12">
        <v>0</v>
      </c>
      <c r="W251" s="12">
        <v>0</v>
      </c>
    </row>
    <row r="252" spans="1:23" x14ac:dyDescent="0.35">
      <c r="A252" s="7" t="s">
        <v>23</v>
      </c>
      <c r="B252" s="7" t="s">
        <v>762</v>
      </c>
      <c r="C252" s="7" t="s">
        <v>598</v>
      </c>
      <c r="D252" s="8">
        <v>196781</v>
      </c>
      <c r="E252" s="7" t="s">
        <v>295</v>
      </c>
      <c r="F252" s="7" t="s">
        <v>763</v>
      </c>
      <c r="G252" s="7" t="s">
        <v>48</v>
      </c>
      <c r="H252" s="7" t="s">
        <v>39</v>
      </c>
      <c r="I252" s="7" t="s">
        <v>123</v>
      </c>
      <c r="J252" s="7" t="s">
        <v>40</v>
      </c>
      <c r="K252" s="7" t="s">
        <v>80</v>
      </c>
      <c r="L252" s="7" t="s">
        <v>42</v>
      </c>
      <c r="M252" s="7" t="s">
        <v>764</v>
      </c>
      <c r="N252" s="9" t="s">
        <v>126</v>
      </c>
      <c r="O252" s="9" t="s">
        <v>51</v>
      </c>
      <c r="P252" s="9" t="s">
        <v>34</v>
      </c>
      <c r="Q252" s="10" t="str">
        <f>IF(IDMaster[[#This Row],[Consumption]]="Consumption",IDMaster[[#This Row],[Consumption]],IDMaster[[#This Row],[Basis]])</f>
        <v>RAC Direct</v>
      </c>
      <c r="R252" s="7" t="str">
        <f>IDMaster[[#This Row],[Supported Group]]&amp;"."&amp;IDMaster[[#This Row],[Basis]]</f>
        <v>IT Infrastructure.RAC Direct</v>
      </c>
      <c r="S252" s="11">
        <v>1</v>
      </c>
      <c r="T252" s="12">
        <v>0</v>
      </c>
      <c r="U252" s="12">
        <v>0</v>
      </c>
      <c r="V252" s="12">
        <v>0</v>
      </c>
      <c r="W252" s="12">
        <v>0</v>
      </c>
    </row>
    <row r="253" spans="1:23" x14ac:dyDescent="0.35">
      <c r="A253" s="7" t="s">
        <v>23</v>
      </c>
      <c r="B253" s="7" t="s">
        <v>765</v>
      </c>
      <c r="C253" s="7" t="s">
        <v>766</v>
      </c>
      <c r="D253" s="8">
        <v>317571</v>
      </c>
      <c r="E253" s="7" t="s">
        <v>451</v>
      </c>
      <c r="F253" s="7" t="s">
        <v>767</v>
      </c>
      <c r="G253" s="7" t="s">
        <v>72</v>
      </c>
      <c r="H253" s="7" t="s">
        <v>489</v>
      </c>
      <c r="I253" s="7" t="s">
        <v>28</v>
      </c>
      <c r="J253" s="7" t="s">
        <v>137</v>
      </c>
      <c r="K253" s="7" t="s">
        <v>63</v>
      </c>
      <c r="L253" s="7" t="s">
        <v>30</v>
      </c>
      <c r="M253" s="7" t="s">
        <v>43</v>
      </c>
      <c r="N253" s="9" t="s">
        <v>32</v>
      </c>
      <c r="O253" s="9" t="s">
        <v>67</v>
      </c>
      <c r="P253" s="9" t="s">
        <v>34</v>
      </c>
      <c r="Q253" s="10" t="str">
        <f>IF(IDMaster[[#This Row],[Consumption]]="Consumption",IDMaster[[#This Row],[Consumption]],IDMaster[[#This Row],[Basis]])</f>
        <v>Revenue</v>
      </c>
      <c r="R253" s="7" t="str">
        <f>IDMaster[[#This Row],[Supported Group]]&amp;"."&amp;IDMaster[[#This Row],[Basis]]</f>
        <v>IT Corporate.Revenue</v>
      </c>
      <c r="S253" s="11">
        <v>0.42185161428265983</v>
      </c>
      <c r="T253" s="12">
        <v>0.57814838571734017</v>
      </c>
      <c r="U253" s="12">
        <v>0</v>
      </c>
      <c r="V253" s="12">
        <v>0</v>
      </c>
      <c r="W253" s="12">
        <v>0</v>
      </c>
    </row>
    <row r="254" spans="1:23" x14ac:dyDescent="0.35">
      <c r="A254" s="7" t="s">
        <v>23</v>
      </c>
      <c r="B254" s="7" t="s">
        <v>768</v>
      </c>
      <c r="C254" s="15" t="s">
        <v>769</v>
      </c>
      <c r="D254" s="8">
        <v>368966</v>
      </c>
      <c r="E254" s="7" t="s">
        <v>770</v>
      </c>
      <c r="F254" s="7" t="s">
        <v>769</v>
      </c>
      <c r="G254" s="7" t="s">
        <v>97</v>
      </c>
      <c r="H254" s="7" t="s">
        <v>489</v>
      </c>
      <c r="I254" s="7" t="s">
        <v>28</v>
      </c>
      <c r="J254" s="7" t="s">
        <v>40</v>
      </c>
      <c r="K254" s="7" t="s">
        <v>80</v>
      </c>
      <c r="L254" s="7" t="s">
        <v>42</v>
      </c>
      <c r="M254" s="7" t="s">
        <v>43</v>
      </c>
      <c r="N254" s="9" t="s">
        <v>32</v>
      </c>
      <c r="O254" s="9" t="s">
        <v>99</v>
      </c>
      <c r="P254" s="9" t="s">
        <v>34</v>
      </c>
      <c r="Q254" s="10" t="str">
        <f>IF(IDMaster[[#This Row],[Consumption]]="Consumption",IDMaster[[#This Row],[Consumption]],IDMaster[[#This Row],[Basis]])</f>
        <v>Revenue</v>
      </c>
      <c r="R254" s="7" t="str">
        <f>IDMaster[[#This Row],[Supported Group]]&amp;"."&amp;IDMaster[[#This Row],[Basis]]</f>
        <v>Security.Revenue</v>
      </c>
      <c r="S254" s="11">
        <v>0.42185161428265983</v>
      </c>
      <c r="T254" s="12">
        <v>0.57814838571734017</v>
      </c>
      <c r="U254" s="12">
        <v>0</v>
      </c>
      <c r="V254" s="12">
        <v>0</v>
      </c>
      <c r="W254" s="12">
        <v>0</v>
      </c>
    </row>
    <row r="255" spans="1:23" x14ac:dyDescent="0.35">
      <c r="A255" s="7" t="s">
        <v>23</v>
      </c>
      <c r="B255" s="7" t="s">
        <v>771</v>
      </c>
      <c r="C255" s="7" t="s">
        <v>772</v>
      </c>
      <c r="D255" s="8">
        <v>368877</v>
      </c>
      <c r="E255" s="7" t="s">
        <v>370</v>
      </c>
      <c r="F255" s="7" t="s">
        <v>773</v>
      </c>
      <c r="G255" s="7" t="s">
        <v>97</v>
      </c>
      <c r="H255" s="7" t="s">
        <v>27</v>
      </c>
      <c r="I255" s="7" t="s">
        <v>28</v>
      </c>
      <c r="J255" s="7" t="s">
        <v>40</v>
      </c>
      <c r="K255" s="7" t="s">
        <v>80</v>
      </c>
      <c r="L255" s="7" t="s">
        <v>42</v>
      </c>
      <c r="M255" s="7" t="s">
        <v>774</v>
      </c>
      <c r="N255" s="9" t="s">
        <v>32</v>
      </c>
      <c r="O255" s="9" t="s">
        <v>99</v>
      </c>
      <c r="P255" s="9" t="s">
        <v>34</v>
      </c>
      <c r="Q255" s="10" t="str">
        <f>IF(IDMaster[[#This Row],[Consumption]]="Consumption",IDMaster[[#This Row],[Consumption]],IDMaster[[#This Row],[Basis]])</f>
        <v>Revenue</v>
      </c>
      <c r="R255" s="7" t="str">
        <f>IDMaster[[#This Row],[Supported Group]]&amp;"."&amp;IDMaster[[#This Row],[Basis]]</f>
        <v>Security.Revenue</v>
      </c>
      <c r="S255" s="11">
        <v>0.42185161428265983</v>
      </c>
      <c r="T255" s="12">
        <v>0.57814838571734017</v>
      </c>
      <c r="U255" s="12">
        <v>0</v>
      </c>
      <c r="V255" s="12">
        <v>0</v>
      </c>
      <c r="W255" s="12">
        <v>0</v>
      </c>
    </row>
    <row r="256" spans="1:23" x14ac:dyDescent="0.35">
      <c r="A256" s="7" t="s">
        <v>23</v>
      </c>
      <c r="B256" s="7" t="s">
        <v>775</v>
      </c>
      <c r="C256" s="7" t="s">
        <v>340</v>
      </c>
      <c r="D256" s="8">
        <v>155810</v>
      </c>
      <c r="E256" s="7" t="s">
        <v>95</v>
      </c>
      <c r="F256" s="7" t="s">
        <v>776</v>
      </c>
      <c r="G256" s="7" t="s">
        <v>97</v>
      </c>
      <c r="H256" s="7" t="s">
        <v>39</v>
      </c>
      <c r="I256" s="7" t="s">
        <v>123</v>
      </c>
      <c r="J256" s="7" t="s">
        <v>137</v>
      </c>
      <c r="K256" s="7" t="s">
        <v>63</v>
      </c>
      <c r="L256" s="7" t="s">
        <v>30</v>
      </c>
      <c r="M256" s="7" t="s">
        <v>43</v>
      </c>
      <c r="N256" s="9" t="s">
        <v>32</v>
      </c>
      <c r="O256" s="9" t="s">
        <v>99</v>
      </c>
      <c r="P256" s="9" t="s">
        <v>34</v>
      </c>
      <c r="Q256" s="10" t="str">
        <f>IF(IDMaster[[#This Row],[Consumption]]="Consumption",IDMaster[[#This Row],[Consumption]],IDMaster[[#This Row],[Basis]])</f>
        <v>Revenue</v>
      </c>
      <c r="R256" s="7" t="str">
        <f>IDMaster[[#This Row],[Supported Group]]&amp;"."&amp;IDMaster[[#This Row],[Basis]]</f>
        <v>Security.Revenue</v>
      </c>
      <c r="S256" s="11">
        <v>0.42185161428265983</v>
      </c>
      <c r="T256" s="12">
        <v>0.57814838571734017</v>
      </c>
      <c r="U256" s="12">
        <v>0</v>
      </c>
      <c r="V256" s="12">
        <v>0</v>
      </c>
      <c r="W256" s="12">
        <v>0</v>
      </c>
    </row>
    <row r="257" spans="1:23" x14ac:dyDescent="0.35">
      <c r="A257" s="7" t="s">
        <v>23</v>
      </c>
      <c r="B257" s="7" t="s">
        <v>777</v>
      </c>
      <c r="C257" s="15" t="s">
        <v>778</v>
      </c>
      <c r="D257" s="8">
        <v>268255</v>
      </c>
      <c r="E257" s="7" t="s">
        <v>559</v>
      </c>
      <c r="F257" s="7" t="s">
        <v>779</v>
      </c>
      <c r="G257" s="7" t="s">
        <v>48</v>
      </c>
      <c r="H257" s="7" t="s">
        <v>39</v>
      </c>
      <c r="I257" s="7" t="s">
        <v>123</v>
      </c>
      <c r="J257" s="7" t="s">
        <v>267</v>
      </c>
      <c r="K257" s="7" t="s">
        <v>80</v>
      </c>
      <c r="L257" s="7" t="s">
        <v>42</v>
      </c>
      <c r="M257" s="7" t="s">
        <v>780</v>
      </c>
      <c r="N257" s="9" t="s">
        <v>692</v>
      </c>
      <c r="O257" s="9" t="s">
        <v>51</v>
      </c>
      <c r="P257" s="9" t="s">
        <v>34</v>
      </c>
      <c r="Q257" s="10" t="str">
        <f>IF(IDMaster[[#This Row],[Consumption]]="Consumption",IDMaster[[#This Row],[Consumption]],IDMaster[[#This Row],[Basis]])</f>
        <v>Store Count</v>
      </c>
      <c r="R257" s="7" t="str">
        <f>IDMaster[[#This Row],[Supported Group]]&amp;"."&amp;IDMaster[[#This Row],[Basis]]</f>
        <v>IT Infrastructure.Store Count</v>
      </c>
      <c r="S257" s="11">
        <v>0.7087214225232854</v>
      </c>
      <c r="T257" s="12">
        <v>0.29127857747671465</v>
      </c>
      <c r="U257" s="12">
        <v>0</v>
      </c>
      <c r="V257" s="12">
        <v>0</v>
      </c>
      <c r="W257" s="12">
        <v>0</v>
      </c>
    </row>
    <row r="258" spans="1:23" x14ac:dyDescent="0.35">
      <c r="A258" s="7" t="s">
        <v>23</v>
      </c>
      <c r="B258" s="7" t="s">
        <v>781</v>
      </c>
      <c r="C258" s="15" t="s">
        <v>782</v>
      </c>
      <c r="D258" s="8">
        <v>110388</v>
      </c>
      <c r="E258" s="7" t="s">
        <v>260</v>
      </c>
      <c r="F258" s="7" t="s">
        <v>783</v>
      </c>
      <c r="G258" s="7" t="s">
        <v>48</v>
      </c>
      <c r="H258" s="7" t="s">
        <v>27</v>
      </c>
      <c r="I258" s="7" t="s">
        <v>28</v>
      </c>
      <c r="J258" s="7" t="s">
        <v>137</v>
      </c>
      <c r="K258" s="7" t="s">
        <v>63</v>
      </c>
      <c r="L258" s="7" t="s">
        <v>30</v>
      </c>
      <c r="M258" s="7" t="s">
        <v>784</v>
      </c>
      <c r="N258" s="9" t="s">
        <v>32</v>
      </c>
      <c r="O258" s="9" t="s">
        <v>195</v>
      </c>
      <c r="P258" s="9" t="s">
        <v>34</v>
      </c>
      <c r="Q258" s="10" t="str">
        <f>IF(IDMaster[[#This Row],[Consumption]]="Consumption",IDMaster[[#This Row],[Consumption]],IDMaster[[#This Row],[Basis]])</f>
        <v>Revenue</v>
      </c>
      <c r="R258" s="7" t="str">
        <f>IDMaster[[#This Row],[Supported Group]]&amp;"."&amp;IDMaster[[#This Row],[Basis]]</f>
        <v>External Labor.Revenue</v>
      </c>
      <c r="S258" s="11">
        <v>0.42185161428265983</v>
      </c>
      <c r="T258" s="12">
        <v>0.57814838571734017</v>
      </c>
      <c r="U258" s="12">
        <v>0</v>
      </c>
      <c r="V258" s="12">
        <v>0</v>
      </c>
      <c r="W258" s="12">
        <v>0</v>
      </c>
    </row>
    <row r="259" spans="1:23" x14ac:dyDescent="0.35">
      <c r="A259" s="7" t="s">
        <v>23</v>
      </c>
      <c r="B259" s="7" t="s">
        <v>785</v>
      </c>
      <c r="C259" s="15" t="s">
        <v>786</v>
      </c>
      <c r="D259" s="8" t="s">
        <v>725</v>
      </c>
      <c r="E259" s="7" t="s">
        <v>595</v>
      </c>
      <c r="F259" s="7" t="s">
        <v>786</v>
      </c>
      <c r="G259" s="7" t="s">
        <v>48</v>
      </c>
      <c r="H259" s="7" t="s">
        <v>27</v>
      </c>
      <c r="I259" s="7" t="s">
        <v>28</v>
      </c>
      <c r="J259" s="7" t="s">
        <v>40</v>
      </c>
      <c r="K259" s="7" t="s">
        <v>80</v>
      </c>
      <c r="L259" s="7" t="s">
        <v>42</v>
      </c>
      <c r="M259" s="7" t="s">
        <v>787</v>
      </c>
      <c r="N259" s="9" t="s">
        <v>32</v>
      </c>
      <c r="O259" s="9" t="s">
        <v>407</v>
      </c>
      <c r="P259" s="9" t="s">
        <v>34</v>
      </c>
      <c r="Q259" s="10" t="str">
        <f>IF(IDMaster[[#This Row],[Consumption]]="Consumption",IDMaster[[#This Row],[Consumption]],IDMaster[[#This Row],[Basis]])</f>
        <v>Revenue</v>
      </c>
      <c r="R259" s="7" t="str">
        <f>IDMaster[[#This Row],[Supported Group]]&amp;"."&amp;IDMaster[[#This Row],[Basis]]</f>
        <v>IT Dev Tools.Revenue</v>
      </c>
      <c r="S259" s="11">
        <v>0.42185161428265983</v>
      </c>
      <c r="T259" s="12">
        <v>0.57814838571734017</v>
      </c>
      <c r="U259" s="12">
        <v>0</v>
      </c>
      <c r="V259" s="12">
        <v>0</v>
      </c>
      <c r="W259" s="12">
        <v>0</v>
      </c>
    </row>
    <row r="260" spans="1:23" x14ac:dyDescent="0.35">
      <c r="A260" s="7" t="s">
        <v>23</v>
      </c>
      <c r="B260" s="7" t="s">
        <v>788</v>
      </c>
      <c r="C260" s="7" t="s">
        <v>789</v>
      </c>
      <c r="D260" s="8">
        <v>369933</v>
      </c>
      <c r="E260" s="7" t="s">
        <v>559</v>
      </c>
      <c r="F260" s="7" t="s">
        <v>790</v>
      </c>
      <c r="G260" s="7" t="s">
        <v>48</v>
      </c>
      <c r="H260" s="7" t="s">
        <v>27</v>
      </c>
      <c r="I260" s="7" t="s">
        <v>28</v>
      </c>
      <c r="J260" s="7" t="s">
        <v>137</v>
      </c>
      <c r="K260" s="7" t="s">
        <v>63</v>
      </c>
      <c r="L260" s="7" t="s">
        <v>30</v>
      </c>
      <c r="M260" s="7" t="s">
        <v>43</v>
      </c>
      <c r="N260" s="9" t="s">
        <v>32</v>
      </c>
      <c r="O260" s="9" t="s">
        <v>67</v>
      </c>
      <c r="P260" s="9" t="s">
        <v>34</v>
      </c>
      <c r="Q260" s="10" t="str">
        <f>IF(IDMaster[[#This Row],[Consumption]]="Consumption",IDMaster[[#This Row],[Consumption]],IDMaster[[#This Row],[Basis]])</f>
        <v>Revenue</v>
      </c>
      <c r="R260" s="7" t="str">
        <f>IDMaster[[#This Row],[Supported Group]]&amp;"."&amp;IDMaster[[#This Row],[Basis]]</f>
        <v>IT Corporate.Revenue</v>
      </c>
      <c r="S260" s="11">
        <v>0.42185161428265983</v>
      </c>
      <c r="T260" s="12">
        <v>0.57814838571734017</v>
      </c>
      <c r="U260" s="12">
        <v>0</v>
      </c>
      <c r="V260" s="12">
        <v>0</v>
      </c>
      <c r="W260" s="12">
        <v>0</v>
      </c>
    </row>
    <row r="261" spans="1:23" x14ac:dyDescent="0.35">
      <c r="A261" s="7" t="s">
        <v>23</v>
      </c>
      <c r="B261" s="7" t="s">
        <v>791</v>
      </c>
      <c r="C261" s="7" t="s">
        <v>792</v>
      </c>
      <c r="D261" s="8">
        <v>303223</v>
      </c>
      <c r="E261" s="7" t="s">
        <v>227</v>
      </c>
      <c r="F261" s="7" t="s">
        <v>793</v>
      </c>
      <c r="G261" s="7" t="s">
        <v>48</v>
      </c>
      <c r="H261" s="7" t="s">
        <v>27</v>
      </c>
      <c r="I261" s="7" t="s">
        <v>28</v>
      </c>
      <c r="J261" s="7" t="s">
        <v>40</v>
      </c>
      <c r="K261" s="7" t="s">
        <v>63</v>
      </c>
      <c r="L261" s="7" t="s">
        <v>30</v>
      </c>
      <c r="M261" s="7" t="s">
        <v>794</v>
      </c>
      <c r="N261" s="9" t="s">
        <v>32</v>
      </c>
      <c r="O261" s="9" t="s">
        <v>51</v>
      </c>
      <c r="P261" s="9" t="s">
        <v>34</v>
      </c>
      <c r="Q261" s="10" t="str">
        <f>IF(IDMaster[[#This Row],[Consumption]]="Consumption",IDMaster[[#This Row],[Consumption]],IDMaster[[#This Row],[Basis]])</f>
        <v>Revenue</v>
      </c>
      <c r="R261" s="7" t="str">
        <f>IDMaster[[#This Row],[Supported Group]]&amp;"."&amp;IDMaster[[#This Row],[Basis]]</f>
        <v>IT Infrastructure.Revenue</v>
      </c>
      <c r="S261" s="11">
        <v>0.42185161428265983</v>
      </c>
      <c r="T261" s="12">
        <v>0.57814838571734017</v>
      </c>
      <c r="U261" s="12">
        <v>0</v>
      </c>
      <c r="V261" s="12">
        <v>0</v>
      </c>
      <c r="W261" s="12">
        <v>0</v>
      </c>
    </row>
    <row r="262" spans="1:23" x14ac:dyDescent="0.35">
      <c r="A262" s="7" t="s">
        <v>23</v>
      </c>
      <c r="B262" s="7" t="s">
        <v>795</v>
      </c>
      <c r="C262" s="15" t="s">
        <v>326</v>
      </c>
      <c r="D262" s="8">
        <v>178105</v>
      </c>
      <c r="E262" s="7" t="s">
        <v>260</v>
      </c>
      <c r="F262" s="7" t="s">
        <v>327</v>
      </c>
      <c r="G262" s="7" t="s">
        <v>48</v>
      </c>
      <c r="H262" s="7" t="s">
        <v>27</v>
      </c>
      <c r="I262" s="7" t="s">
        <v>28</v>
      </c>
      <c r="J262" s="7" t="s">
        <v>40</v>
      </c>
      <c r="K262" s="7" t="s">
        <v>80</v>
      </c>
      <c r="L262" s="7" t="s">
        <v>42</v>
      </c>
      <c r="M262" s="7" t="s">
        <v>796</v>
      </c>
      <c r="N262" s="9" t="s">
        <v>32</v>
      </c>
      <c r="O262" s="9" t="s">
        <v>51</v>
      </c>
      <c r="P262" s="9" t="s">
        <v>34</v>
      </c>
      <c r="Q262" s="10" t="str">
        <f>IF(IDMaster[[#This Row],[Consumption]]="Consumption",IDMaster[[#This Row],[Consumption]],IDMaster[[#This Row],[Basis]])</f>
        <v>Revenue</v>
      </c>
      <c r="R262" s="7" t="str">
        <f>IDMaster[[#This Row],[Supported Group]]&amp;"."&amp;IDMaster[[#This Row],[Basis]]</f>
        <v>IT Infrastructure.Revenue</v>
      </c>
      <c r="S262" s="11">
        <v>0.42185161428265983</v>
      </c>
      <c r="T262" s="12">
        <v>0.57814838571734017</v>
      </c>
      <c r="U262" s="12">
        <v>0</v>
      </c>
      <c r="V262" s="12">
        <v>0</v>
      </c>
      <c r="W262" s="12">
        <v>0</v>
      </c>
    </row>
    <row r="263" spans="1:23" x14ac:dyDescent="0.35">
      <c r="A263" s="7" t="s">
        <v>23</v>
      </c>
      <c r="B263" s="7" t="s">
        <v>797</v>
      </c>
      <c r="C263" s="15" t="s">
        <v>326</v>
      </c>
      <c r="D263" s="8">
        <v>178105</v>
      </c>
      <c r="E263" s="7" t="s">
        <v>260</v>
      </c>
      <c r="F263" s="7" t="s">
        <v>798</v>
      </c>
      <c r="G263" s="7" t="s">
        <v>48</v>
      </c>
      <c r="H263" s="7" t="s">
        <v>27</v>
      </c>
      <c r="I263" s="7" t="s">
        <v>28</v>
      </c>
      <c r="J263" s="7" t="s">
        <v>40</v>
      </c>
      <c r="K263" s="7" t="s">
        <v>80</v>
      </c>
      <c r="L263" s="7" t="s">
        <v>42</v>
      </c>
      <c r="M263" s="7" t="s">
        <v>43</v>
      </c>
      <c r="N263" s="9" t="s">
        <v>32</v>
      </c>
      <c r="O263" s="9" t="s">
        <v>33</v>
      </c>
      <c r="P263" s="9" t="s">
        <v>34</v>
      </c>
      <c r="Q263" s="10" t="str">
        <f>IF(IDMaster[[#This Row],[Consumption]]="Consumption",IDMaster[[#This Row],[Consumption]],IDMaster[[#This Row],[Basis]])</f>
        <v>Revenue</v>
      </c>
      <c r="R263" s="7" t="str">
        <f>IDMaster[[#This Row],[Supported Group]]&amp;"."&amp;IDMaster[[#This Row],[Basis]]</f>
        <v>IT Tools.Revenue</v>
      </c>
      <c r="S263" s="11">
        <v>0.42185161428265983</v>
      </c>
      <c r="T263" s="12">
        <v>0.57814838571734017</v>
      </c>
      <c r="U263" s="12">
        <v>0</v>
      </c>
      <c r="V263" s="12">
        <v>0</v>
      </c>
      <c r="W263" s="12">
        <v>0</v>
      </c>
    </row>
    <row r="264" spans="1:23" x14ac:dyDescent="0.35">
      <c r="A264" s="7" t="s">
        <v>23</v>
      </c>
      <c r="B264" s="7" t="s">
        <v>799</v>
      </c>
      <c r="C264" s="15" t="s">
        <v>326</v>
      </c>
      <c r="D264" s="8">
        <v>178105</v>
      </c>
      <c r="E264" s="7" t="s">
        <v>260</v>
      </c>
      <c r="F264" s="7" t="s">
        <v>800</v>
      </c>
      <c r="G264" s="7" t="s">
        <v>48</v>
      </c>
      <c r="H264" s="7" t="s">
        <v>27</v>
      </c>
      <c r="I264" s="7" t="s">
        <v>28</v>
      </c>
      <c r="J264" s="7" t="s">
        <v>40</v>
      </c>
      <c r="K264" s="7" t="s">
        <v>80</v>
      </c>
      <c r="L264" s="7" t="s">
        <v>42</v>
      </c>
      <c r="M264" s="7" t="s">
        <v>796</v>
      </c>
      <c r="N264" s="9" t="s">
        <v>32</v>
      </c>
      <c r="O264" s="9" t="s">
        <v>51</v>
      </c>
      <c r="P264" s="9" t="s">
        <v>34</v>
      </c>
      <c r="Q264" s="10" t="str">
        <f>IF(IDMaster[[#This Row],[Consumption]]="Consumption",IDMaster[[#This Row],[Consumption]],IDMaster[[#This Row],[Basis]])</f>
        <v>Revenue</v>
      </c>
      <c r="R264" s="7" t="str">
        <f>IDMaster[[#This Row],[Supported Group]]&amp;"."&amp;IDMaster[[#This Row],[Basis]]</f>
        <v>IT Infrastructure.Revenue</v>
      </c>
      <c r="S264" s="11">
        <v>0.42185161428265983</v>
      </c>
      <c r="T264" s="12">
        <v>0.57814838571734017</v>
      </c>
      <c r="U264" s="12">
        <v>0</v>
      </c>
      <c r="V264" s="12">
        <v>0</v>
      </c>
      <c r="W264" s="12">
        <v>0</v>
      </c>
    </row>
    <row r="265" spans="1:23" x14ac:dyDescent="0.35">
      <c r="A265" s="7" t="s">
        <v>23</v>
      </c>
      <c r="B265" s="7" t="s">
        <v>801</v>
      </c>
      <c r="C265" s="7" t="s">
        <v>329</v>
      </c>
      <c r="D265" s="8">
        <v>207712</v>
      </c>
      <c r="E265" s="7" t="s">
        <v>260</v>
      </c>
      <c r="F265" s="7" t="s">
        <v>802</v>
      </c>
      <c r="G265" s="7" t="s">
        <v>48</v>
      </c>
      <c r="H265" s="7" t="s">
        <v>27</v>
      </c>
      <c r="I265" s="7" t="s">
        <v>28</v>
      </c>
      <c r="J265" s="7" t="s">
        <v>40</v>
      </c>
      <c r="K265" s="7" t="s">
        <v>80</v>
      </c>
      <c r="L265" s="7" t="s">
        <v>42</v>
      </c>
      <c r="M265" s="7" t="s">
        <v>803</v>
      </c>
      <c r="N265" s="9" t="s">
        <v>32</v>
      </c>
      <c r="O265" s="9" t="s">
        <v>51</v>
      </c>
      <c r="P265" s="9" t="s">
        <v>34</v>
      </c>
      <c r="Q265" s="10" t="str">
        <f>IF(IDMaster[[#This Row],[Consumption]]="Consumption",IDMaster[[#This Row],[Consumption]],IDMaster[[#This Row],[Basis]])</f>
        <v>Revenue</v>
      </c>
      <c r="R265" s="7" t="str">
        <f>IDMaster[[#This Row],[Supported Group]]&amp;"."&amp;IDMaster[[#This Row],[Basis]]</f>
        <v>IT Infrastructure.Revenue</v>
      </c>
      <c r="S265" s="11">
        <v>0.42185161428265983</v>
      </c>
      <c r="T265" s="12">
        <v>0.57814838571734017</v>
      </c>
      <c r="U265" s="12">
        <v>0</v>
      </c>
      <c r="V265" s="12">
        <v>0</v>
      </c>
      <c r="W265" s="12">
        <v>0</v>
      </c>
    </row>
    <row r="266" spans="1:23" x14ac:dyDescent="0.35">
      <c r="A266" s="7" t="s">
        <v>23</v>
      </c>
      <c r="B266" s="7" t="s">
        <v>804</v>
      </c>
      <c r="C266" s="15" t="s">
        <v>226</v>
      </c>
      <c r="D266" s="8">
        <v>259622</v>
      </c>
      <c r="E266" s="7" t="s">
        <v>260</v>
      </c>
      <c r="F266" s="7" t="s">
        <v>805</v>
      </c>
      <c r="G266" s="7" t="s">
        <v>48</v>
      </c>
      <c r="H266" s="7" t="s">
        <v>27</v>
      </c>
      <c r="I266" s="7" t="s">
        <v>28</v>
      </c>
      <c r="J266" s="7" t="s">
        <v>40</v>
      </c>
      <c r="K266" s="7" t="s">
        <v>80</v>
      </c>
      <c r="L266" s="7" t="s">
        <v>42</v>
      </c>
      <c r="M266" s="7" t="s">
        <v>806</v>
      </c>
      <c r="N266" s="9" t="s">
        <v>92</v>
      </c>
      <c r="O266" s="9" t="s">
        <v>51</v>
      </c>
      <c r="P266" s="9" t="s">
        <v>34</v>
      </c>
      <c r="Q266" s="10" t="str">
        <f>IF(IDMaster[[#This Row],[Consumption]]="Consumption",IDMaster[[#This Row],[Consumption]],IDMaster[[#This Row],[Basis]])</f>
        <v>Total Headcount</v>
      </c>
      <c r="R266" s="7" t="str">
        <f>IDMaster[[#This Row],[Supported Group]]&amp;"."&amp;IDMaster[[#This Row],[Basis]]</f>
        <v>IT Infrastructure.Total Headcount</v>
      </c>
      <c r="S266" s="11">
        <v>0.69106036166058238</v>
      </c>
      <c r="T266" s="12">
        <v>0.14347567705238135</v>
      </c>
      <c r="U266" s="12">
        <v>0</v>
      </c>
      <c r="V266" s="12">
        <v>0</v>
      </c>
      <c r="W266" s="12">
        <v>0.16546396128703625</v>
      </c>
    </row>
    <row r="267" spans="1:23" x14ac:dyDescent="0.35">
      <c r="A267" s="7" t="s">
        <v>23</v>
      </c>
      <c r="B267" s="7" t="s">
        <v>807</v>
      </c>
      <c r="C267" s="15" t="s">
        <v>808</v>
      </c>
      <c r="D267" s="8" t="s">
        <v>725</v>
      </c>
      <c r="E267" s="7" t="s">
        <v>595</v>
      </c>
      <c r="F267" s="7" t="s">
        <v>809</v>
      </c>
      <c r="G267" s="7" t="s">
        <v>48</v>
      </c>
      <c r="H267" s="7" t="s">
        <v>27</v>
      </c>
      <c r="I267" s="7" t="s">
        <v>28</v>
      </c>
      <c r="J267" s="7" t="s">
        <v>40</v>
      </c>
      <c r="K267" s="7" t="s">
        <v>80</v>
      </c>
      <c r="L267" s="7" t="s">
        <v>42</v>
      </c>
      <c r="M267" s="7" t="s">
        <v>810</v>
      </c>
      <c r="N267" s="9" t="s">
        <v>32</v>
      </c>
      <c r="O267" s="9" t="s">
        <v>407</v>
      </c>
      <c r="P267" s="9" t="s">
        <v>34</v>
      </c>
      <c r="Q267" s="10" t="str">
        <f>IF(IDMaster[[#This Row],[Consumption]]="Consumption",IDMaster[[#This Row],[Consumption]],IDMaster[[#This Row],[Basis]])</f>
        <v>Revenue</v>
      </c>
      <c r="R267" s="7" t="str">
        <f>IDMaster[[#This Row],[Supported Group]]&amp;"."&amp;IDMaster[[#This Row],[Basis]]</f>
        <v>IT Dev Tools.Revenue</v>
      </c>
      <c r="S267" s="11">
        <v>0.42185161428265983</v>
      </c>
      <c r="T267" s="12">
        <v>0.57814838571734017</v>
      </c>
      <c r="U267" s="12">
        <v>0</v>
      </c>
      <c r="V267" s="12">
        <v>0</v>
      </c>
      <c r="W267" s="12">
        <v>0</v>
      </c>
    </row>
    <row r="268" spans="1:23" x14ac:dyDescent="0.35">
      <c r="A268" s="7" t="s">
        <v>23</v>
      </c>
      <c r="B268" s="7" t="s">
        <v>811</v>
      </c>
      <c r="C268" s="15" t="s">
        <v>808</v>
      </c>
      <c r="D268" s="8" t="s">
        <v>725</v>
      </c>
      <c r="E268" s="7" t="s">
        <v>595</v>
      </c>
      <c r="F268" s="7" t="s">
        <v>812</v>
      </c>
      <c r="G268" s="7" t="s">
        <v>48</v>
      </c>
      <c r="H268" s="7" t="s">
        <v>27</v>
      </c>
      <c r="I268" s="7" t="s">
        <v>28</v>
      </c>
      <c r="J268" s="7" t="s">
        <v>40</v>
      </c>
      <c r="K268" s="7" t="s">
        <v>80</v>
      </c>
      <c r="L268" s="7" t="s">
        <v>42</v>
      </c>
      <c r="M268" s="7" t="s">
        <v>810</v>
      </c>
      <c r="N268" s="9" t="s">
        <v>32</v>
      </c>
      <c r="O268" s="9" t="s">
        <v>407</v>
      </c>
      <c r="P268" s="9" t="s">
        <v>34</v>
      </c>
      <c r="Q268" s="10" t="str">
        <f>IF(IDMaster[[#This Row],[Consumption]]="Consumption",IDMaster[[#This Row],[Consumption]],IDMaster[[#This Row],[Basis]])</f>
        <v>Revenue</v>
      </c>
      <c r="R268" s="7" t="str">
        <f>IDMaster[[#This Row],[Supported Group]]&amp;"."&amp;IDMaster[[#This Row],[Basis]]</f>
        <v>IT Dev Tools.Revenue</v>
      </c>
      <c r="S268" s="11">
        <v>0.42185161428265983</v>
      </c>
      <c r="T268" s="12">
        <v>0.57814838571734017</v>
      </c>
      <c r="U268" s="12">
        <v>0</v>
      </c>
      <c r="V268" s="12">
        <v>0</v>
      </c>
      <c r="W268" s="12">
        <v>0</v>
      </c>
    </row>
    <row r="269" spans="1:23" x14ac:dyDescent="0.35">
      <c r="A269" s="7" t="s">
        <v>23</v>
      </c>
      <c r="B269" s="7" t="s">
        <v>813</v>
      </c>
      <c r="C269" s="15" t="s">
        <v>121</v>
      </c>
      <c r="D269" s="8">
        <v>260532</v>
      </c>
      <c r="E269" s="7" t="s">
        <v>260</v>
      </c>
      <c r="F269" s="7" t="s">
        <v>814</v>
      </c>
      <c r="G269" s="7" t="s">
        <v>48</v>
      </c>
      <c r="H269" s="7" t="s">
        <v>39</v>
      </c>
      <c r="I269" s="7" t="s">
        <v>28</v>
      </c>
      <c r="J269" s="7" t="s">
        <v>124</v>
      </c>
      <c r="K269" s="7" t="s">
        <v>80</v>
      </c>
      <c r="L269" s="7" t="s">
        <v>42</v>
      </c>
      <c r="M269" s="7" t="s">
        <v>43</v>
      </c>
      <c r="N269" s="9" t="s">
        <v>126</v>
      </c>
      <c r="O269" s="9" t="s">
        <v>538</v>
      </c>
      <c r="P269" s="9" t="s">
        <v>34</v>
      </c>
      <c r="Q269" s="10" t="str">
        <f>IF(IDMaster[[#This Row],[Consumption]]="Consumption",IDMaster[[#This Row],[Consumption]],IDMaster[[#This Row],[Basis]])</f>
        <v>RAC Direct</v>
      </c>
      <c r="R269" s="7" t="str">
        <f>IDMaster[[#This Row],[Supported Group]]&amp;"."&amp;IDMaster[[#This Row],[Basis]]</f>
        <v>RAC.RAC Direct</v>
      </c>
      <c r="S269" s="11">
        <v>1</v>
      </c>
      <c r="T269" s="12">
        <v>0</v>
      </c>
      <c r="U269" s="12">
        <v>0</v>
      </c>
      <c r="V269" s="12">
        <v>0</v>
      </c>
      <c r="W269" s="12">
        <v>0</v>
      </c>
    </row>
    <row r="270" spans="1:23" x14ac:dyDescent="0.35">
      <c r="A270" s="7" t="s">
        <v>23</v>
      </c>
      <c r="B270" s="7" t="s">
        <v>815</v>
      </c>
      <c r="C270" s="15" t="s">
        <v>121</v>
      </c>
      <c r="D270" s="8">
        <v>260532</v>
      </c>
      <c r="E270" s="7" t="s">
        <v>260</v>
      </c>
      <c r="F270" s="7" t="s">
        <v>816</v>
      </c>
      <c r="G270" s="7" t="s">
        <v>48</v>
      </c>
      <c r="H270" s="7" t="s">
        <v>39</v>
      </c>
      <c r="I270" s="7" t="s">
        <v>28</v>
      </c>
      <c r="J270" s="7" t="s">
        <v>124</v>
      </c>
      <c r="K270" s="7" t="s">
        <v>41</v>
      </c>
      <c r="L270" s="7" t="s">
        <v>42</v>
      </c>
      <c r="M270" s="7" t="s">
        <v>43</v>
      </c>
      <c r="N270" s="9" t="s">
        <v>126</v>
      </c>
      <c r="O270" s="9" t="s">
        <v>538</v>
      </c>
      <c r="P270" s="9" t="s">
        <v>34</v>
      </c>
      <c r="Q270" s="10" t="str">
        <f>IF(IDMaster[[#This Row],[Consumption]]="Consumption",IDMaster[[#This Row],[Consumption]],IDMaster[[#This Row],[Basis]])</f>
        <v>RAC Direct</v>
      </c>
      <c r="R270" s="7" t="str">
        <f>IDMaster[[#This Row],[Supported Group]]&amp;"."&amp;IDMaster[[#This Row],[Basis]]</f>
        <v>RAC.RAC Direct</v>
      </c>
      <c r="S270" s="11">
        <v>1</v>
      </c>
      <c r="T270" s="12">
        <v>0</v>
      </c>
      <c r="U270" s="12">
        <v>0</v>
      </c>
      <c r="V270" s="12">
        <v>0</v>
      </c>
      <c r="W270" s="12">
        <v>0</v>
      </c>
    </row>
    <row r="271" spans="1:23" x14ac:dyDescent="0.35">
      <c r="A271" s="7" t="s">
        <v>23</v>
      </c>
      <c r="B271" s="7" t="s">
        <v>817</v>
      </c>
      <c r="C271" s="15" t="s">
        <v>121</v>
      </c>
      <c r="D271" s="8">
        <v>260532</v>
      </c>
      <c r="E271" s="7" t="s">
        <v>260</v>
      </c>
      <c r="F271" s="7" t="s">
        <v>818</v>
      </c>
      <c r="G271" s="7" t="s">
        <v>48</v>
      </c>
      <c r="H271" s="7" t="s">
        <v>39</v>
      </c>
      <c r="I271" s="7" t="s">
        <v>28</v>
      </c>
      <c r="J271" s="7" t="s">
        <v>124</v>
      </c>
      <c r="K271" s="7" t="s">
        <v>41</v>
      </c>
      <c r="L271" s="7" t="s">
        <v>42</v>
      </c>
      <c r="M271" s="7" t="s">
        <v>43</v>
      </c>
      <c r="N271" s="9" t="s">
        <v>126</v>
      </c>
      <c r="O271" s="9" t="s">
        <v>538</v>
      </c>
      <c r="P271" s="9" t="s">
        <v>34</v>
      </c>
      <c r="Q271" s="10" t="str">
        <f>IF(IDMaster[[#This Row],[Consumption]]="Consumption",IDMaster[[#This Row],[Consumption]],IDMaster[[#This Row],[Basis]])</f>
        <v>RAC Direct</v>
      </c>
      <c r="R271" s="7" t="str">
        <f>IDMaster[[#This Row],[Supported Group]]&amp;"."&amp;IDMaster[[#This Row],[Basis]]</f>
        <v>RAC.RAC Direct</v>
      </c>
      <c r="S271" s="11">
        <v>1</v>
      </c>
      <c r="T271" s="12">
        <v>0</v>
      </c>
      <c r="U271" s="12">
        <v>0</v>
      </c>
      <c r="V271" s="12">
        <v>0</v>
      </c>
      <c r="W271" s="12">
        <v>0</v>
      </c>
    </row>
    <row r="272" spans="1:23" x14ac:dyDescent="0.35">
      <c r="A272" s="7" t="s">
        <v>23</v>
      </c>
      <c r="B272" s="7" t="s">
        <v>819</v>
      </c>
      <c r="C272" s="15" t="s">
        <v>121</v>
      </c>
      <c r="D272" s="8">
        <v>260532</v>
      </c>
      <c r="E272" s="7" t="s">
        <v>260</v>
      </c>
      <c r="F272" s="7" t="s">
        <v>820</v>
      </c>
      <c r="G272" s="7" t="s">
        <v>48</v>
      </c>
      <c r="H272" s="7" t="s">
        <v>39</v>
      </c>
      <c r="I272" s="7" t="s">
        <v>28</v>
      </c>
      <c r="J272" s="7" t="s">
        <v>124</v>
      </c>
      <c r="K272" s="7" t="s">
        <v>41</v>
      </c>
      <c r="L272" s="7" t="s">
        <v>42</v>
      </c>
      <c r="M272" s="7" t="s">
        <v>43</v>
      </c>
      <c r="N272" s="9" t="s">
        <v>126</v>
      </c>
      <c r="O272" s="9" t="s">
        <v>538</v>
      </c>
      <c r="P272" s="9" t="s">
        <v>34</v>
      </c>
      <c r="Q272" s="10" t="str">
        <f>IF(IDMaster[[#This Row],[Consumption]]="Consumption",IDMaster[[#This Row],[Consumption]],IDMaster[[#This Row],[Basis]])</f>
        <v>RAC Direct</v>
      </c>
      <c r="R272" s="7" t="str">
        <f>IDMaster[[#This Row],[Supported Group]]&amp;"."&amp;IDMaster[[#This Row],[Basis]]</f>
        <v>RAC.RAC Direct</v>
      </c>
      <c r="S272" s="11">
        <v>1</v>
      </c>
      <c r="T272" s="12">
        <v>0</v>
      </c>
      <c r="U272" s="12">
        <v>0</v>
      </c>
      <c r="V272" s="12">
        <v>0</v>
      </c>
      <c r="W272" s="12">
        <v>0</v>
      </c>
    </row>
    <row r="273" spans="1:23" x14ac:dyDescent="0.35">
      <c r="A273" s="7" t="s">
        <v>23</v>
      </c>
      <c r="B273" s="7" t="s">
        <v>821</v>
      </c>
      <c r="C273" s="15" t="s">
        <v>822</v>
      </c>
      <c r="D273" s="8" t="s">
        <v>725</v>
      </c>
      <c r="E273" s="7" t="s">
        <v>260</v>
      </c>
      <c r="F273" s="7" t="s">
        <v>823</v>
      </c>
      <c r="G273" s="7" t="s">
        <v>48</v>
      </c>
      <c r="H273" s="7" t="s">
        <v>27</v>
      </c>
      <c r="I273" s="7" t="s">
        <v>28</v>
      </c>
      <c r="J273" s="7" t="s">
        <v>50</v>
      </c>
      <c r="K273" s="7" t="s">
        <v>80</v>
      </c>
      <c r="L273" s="7" t="s">
        <v>42</v>
      </c>
      <c r="M273" s="7" t="s">
        <v>43</v>
      </c>
      <c r="N273" s="9" t="s">
        <v>32</v>
      </c>
      <c r="O273" s="9" t="s">
        <v>67</v>
      </c>
      <c r="P273" s="9" t="s">
        <v>34</v>
      </c>
      <c r="Q273" s="10" t="str">
        <f>IF(IDMaster[[#This Row],[Consumption]]="Consumption",IDMaster[[#This Row],[Consumption]],IDMaster[[#This Row],[Basis]])</f>
        <v>Revenue</v>
      </c>
      <c r="R273" s="7" t="str">
        <f>IDMaster[[#This Row],[Supported Group]]&amp;"."&amp;IDMaster[[#This Row],[Basis]]</f>
        <v>IT Corporate.Revenue</v>
      </c>
      <c r="S273" s="11">
        <v>0.42185161428265983</v>
      </c>
      <c r="T273" s="12">
        <v>0.57814838571734017</v>
      </c>
      <c r="U273" s="12">
        <v>0</v>
      </c>
      <c r="V273" s="12">
        <v>0</v>
      </c>
      <c r="W273" s="12">
        <v>0</v>
      </c>
    </row>
    <row r="274" spans="1:23" x14ac:dyDescent="0.35">
      <c r="A274" s="7" t="s">
        <v>23</v>
      </c>
      <c r="B274" s="7" t="s">
        <v>824</v>
      </c>
      <c r="C274" s="15" t="s">
        <v>332</v>
      </c>
      <c r="D274" s="8" t="s">
        <v>725</v>
      </c>
      <c r="E274" s="7" t="s">
        <v>260</v>
      </c>
      <c r="F274" s="7" t="s">
        <v>333</v>
      </c>
      <c r="G274" s="7" t="s">
        <v>48</v>
      </c>
      <c r="H274" s="7" t="s">
        <v>27</v>
      </c>
      <c r="I274" s="7" t="s">
        <v>28</v>
      </c>
      <c r="J274" s="7" t="s">
        <v>40</v>
      </c>
      <c r="K274" s="7" t="s">
        <v>80</v>
      </c>
      <c r="L274" s="7" t="s">
        <v>42</v>
      </c>
      <c r="M274" s="7" t="s">
        <v>43</v>
      </c>
      <c r="N274" s="9" t="s">
        <v>32</v>
      </c>
      <c r="O274" s="9" t="s">
        <v>33</v>
      </c>
      <c r="P274" s="9" t="s">
        <v>34</v>
      </c>
      <c r="Q274" s="10" t="str">
        <f>IF(IDMaster[[#This Row],[Consumption]]="Consumption",IDMaster[[#This Row],[Consumption]],IDMaster[[#This Row],[Basis]])</f>
        <v>Revenue</v>
      </c>
      <c r="R274" s="7" t="str">
        <f>IDMaster[[#This Row],[Supported Group]]&amp;"."&amp;IDMaster[[#This Row],[Basis]]</f>
        <v>IT Tools.Revenue</v>
      </c>
      <c r="S274" s="11">
        <v>0.42185161428265983</v>
      </c>
      <c r="T274" s="12">
        <v>0.57814838571734017</v>
      </c>
      <c r="U274" s="12">
        <v>0</v>
      </c>
      <c r="V274" s="12">
        <v>0</v>
      </c>
      <c r="W274" s="12">
        <v>0</v>
      </c>
    </row>
    <row r="275" spans="1:23" x14ac:dyDescent="0.35">
      <c r="A275" s="7" t="s">
        <v>23</v>
      </c>
      <c r="B275" s="7" t="s">
        <v>825</v>
      </c>
      <c r="C275" s="7" t="s">
        <v>329</v>
      </c>
      <c r="D275" s="8">
        <v>207712</v>
      </c>
      <c r="E275" s="7" t="s">
        <v>260</v>
      </c>
      <c r="F275" s="7" t="s">
        <v>826</v>
      </c>
      <c r="G275" s="7" t="s">
        <v>48</v>
      </c>
      <c r="H275" s="7" t="s">
        <v>27</v>
      </c>
      <c r="I275" s="7" t="s">
        <v>28</v>
      </c>
      <c r="J275" s="7" t="s">
        <v>40</v>
      </c>
      <c r="K275" s="7" t="s">
        <v>80</v>
      </c>
      <c r="L275" s="7" t="s">
        <v>42</v>
      </c>
      <c r="M275" s="7" t="s">
        <v>827</v>
      </c>
      <c r="N275" s="9" t="s">
        <v>32</v>
      </c>
      <c r="O275" s="9" t="s">
        <v>33</v>
      </c>
      <c r="P275" s="9" t="s">
        <v>34</v>
      </c>
      <c r="Q275" s="10" t="str">
        <f>IF(IDMaster[[#This Row],[Consumption]]="Consumption",IDMaster[[#This Row],[Consumption]],IDMaster[[#This Row],[Basis]])</f>
        <v>Revenue</v>
      </c>
      <c r="R275" s="7" t="str">
        <f>IDMaster[[#This Row],[Supported Group]]&amp;"."&amp;IDMaster[[#This Row],[Basis]]</f>
        <v>IT Tools.Revenue</v>
      </c>
      <c r="S275" s="11">
        <v>0.42185161428265983</v>
      </c>
      <c r="T275" s="12">
        <v>0.57814838571734017</v>
      </c>
      <c r="U275" s="12">
        <v>0</v>
      </c>
      <c r="V275" s="12">
        <v>0</v>
      </c>
      <c r="W275" s="12">
        <v>0</v>
      </c>
    </row>
    <row r="276" spans="1:23" x14ac:dyDescent="0.35">
      <c r="A276" s="7" t="s">
        <v>23</v>
      </c>
      <c r="B276" s="7" t="s">
        <v>828</v>
      </c>
      <c r="C276" s="15" t="s">
        <v>121</v>
      </c>
      <c r="D276" s="8">
        <v>260532</v>
      </c>
      <c r="E276" s="7" t="s">
        <v>70</v>
      </c>
      <c r="F276" s="7" t="s">
        <v>829</v>
      </c>
      <c r="G276" s="7" t="s">
        <v>72</v>
      </c>
      <c r="H276" s="7" t="s">
        <v>39</v>
      </c>
      <c r="I276" s="7" t="s">
        <v>28</v>
      </c>
      <c r="J276" s="7" t="s">
        <v>124</v>
      </c>
      <c r="K276" s="7" t="s">
        <v>41</v>
      </c>
      <c r="L276" s="7" t="s">
        <v>42</v>
      </c>
      <c r="M276" s="7" t="s">
        <v>830</v>
      </c>
      <c r="N276" s="9" t="s">
        <v>32</v>
      </c>
      <c r="O276" s="9" t="s">
        <v>51</v>
      </c>
      <c r="P276" s="9" t="s">
        <v>34</v>
      </c>
      <c r="Q276" s="10" t="str">
        <f>IF(IDMaster[[#This Row],[Consumption]]="Consumption",IDMaster[[#This Row],[Consumption]],IDMaster[[#This Row],[Basis]])</f>
        <v>Revenue</v>
      </c>
      <c r="R276" s="7" t="str">
        <f>IDMaster[[#This Row],[Supported Group]]&amp;"."&amp;IDMaster[[#This Row],[Basis]]</f>
        <v>IT Infrastructure.Revenue</v>
      </c>
      <c r="S276" s="11">
        <v>0.42185161428265983</v>
      </c>
      <c r="T276" s="12">
        <v>0.57814838571734017</v>
      </c>
      <c r="U276" s="12">
        <v>0</v>
      </c>
      <c r="V276" s="12">
        <v>0</v>
      </c>
      <c r="W276" s="12">
        <v>0</v>
      </c>
    </row>
    <row r="277" spans="1:23" x14ac:dyDescent="0.35">
      <c r="A277" s="7" t="s">
        <v>23</v>
      </c>
      <c r="B277" s="7" t="s">
        <v>831</v>
      </c>
      <c r="C277" s="15" t="s">
        <v>116</v>
      </c>
      <c r="D277" s="8">
        <v>250849</v>
      </c>
      <c r="E277" s="7" t="s">
        <v>270</v>
      </c>
      <c r="F277" s="7" t="s">
        <v>832</v>
      </c>
      <c r="G277" s="7" t="s">
        <v>72</v>
      </c>
      <c r="H277" s="7" t="s">
        <v>39</v>
      </c>
      <c r="I277" s="7" t="s">
        <v>28</v>
      </c>
      <c r="J277" s="7" t="s">
        <v>40</v>
      </c>
      <c r="K277" s="7" t="s">
        <v>80</v>
      </c>
      <c r="L277" s="7" t="s">
        <v>42</v>
      </c>
      <c r="M277" s="7" t="s">
        <v>119</v>
      </c>
      <c r="N277" s="9" t="s">
        <v>32</v>
      </c>
      <c r="O277" s="9" t="s">
        <v>574</v>
      </c>
      <c r="P277" s="9" t="s">
        <v>34</v>
      </c>
      <c r="Q277" s="10" t="str">
        <f>IF(IDMaster[[#This Row],[Consumption]]="Consumption",IDMaster[[#This Row],[Consumption]],IDMaster[[#This Row],[Basis]])</f>
        <v>Revenue</v>
      </c>
      <c r="R277" s="7" t="str">
        <f>IDMaster[[#This Row],[Supported Group]]&amp;"."&amp;IDMaster[[#This Row],[Basis]]</f>
        <v>Marketing.Revenue</v>
      </c>
      <c r="S277" s="11">
        <v>0.42185161428265983</v>
      </c>
      <c r="T277" s="12">
        <v>0.57814838571734017</v>
      </c>
      <c r="U277" s="12">
        <v>0</v>
      </c>
      <c r="V277" s="12">
        <v>0</v>
      </c>
      <c r="W277" s="12">
        <v>0</v>
      </c>
    </row>
    <row r="278" spans="1:23" x14ac:dyDescent="0.35">
      <c r="A278" s="7" t="s">
        <v>23</v>
      </c>
      <c r="B278" s="7" t="s">
        <v>833</v>
      </c>
      <c r="C278" s="15" t="s">
        <v>116</v>
      </c>
      <c r="D278" s="8">
        <v>250849</v>
      </c>
      <c r="E278" s="7" t="s">
        <v>270</v>
      </c>
      <c r="F278" s="7" t="s">
        <v>271</v>
      </c>
      <c r="G278" s="7" t="s">
        <v>72</v>
      </c>
      <c r="H278" s="7" t="s">
        <v>39</v>
      </c>
      <c r="I278" s="7" t="s">
        <v>123</v>
      </c>
      <c r="J278" s="7" t="s">
        <v>40</v>
      </c>
      <c r="K278" s="7" t="s">
        <v>80</v>
      </c>
      <c r="L278" s="7" t="s">
        <v>42</v>
      </c>
      <c r="M278" s="7" t="s">
        <v>834</v>
      </c>
      <c r="N278" s="9" t="s">
        <v>126</v>
      </c>
      <c r="O278" s="9" t="s">
        <v>272</v>
      </c>
      <c r="P278" s="9" t="s">
        <v>34</v>
      </c>
      <c r="Q278" s="10" t="str">
        <f>IF(IDMaster[[#This Row],[Consumption]]="Consumption",IDMaster[[#This Row],[Consumption]],IDMaster[[#This Row],[Basis]])</f>
        <v>RAC Direct</v>
      </c>
      <c r="R278" s="7" t="str">
        <f>IDMaster[[#This Row],[Supported Group]]&amp;"."&amp;IDMaster[[#This Row],[Basis]]</f>
        <v>eCommerce.RAC Direct</v>
      </c>
      <c r="S278" s="11">
        <v>1</v>
      </c>
      <c r="T278" s="12">
        <v>0</v>
      </c>
      <c r="U278" s="12">
        <v>0</v>
      </c>
      <c r="V278" s="12">
        <v>0</v>
      </c>
      <c r="W278" s="12">
        <v>0</v>
      </c>
    </row>
    <row r="279" spans="1:23" x14ac:dyDescent="0.35">
      <c r="A279" s="7" t="s">
        <v>23</v>
      </c>
      <c r="B279" s="7" t="s">
        <v>835</v>
      </c>
      <c r="C279" s="15" t="s">
        <v>116</v>
      </c>
      <c r="D279" s="8">
        <v>250849</v>
      </c>
      <c r="E279" s="7" t="s">
        <v>270</v>
      </c>
      <c r="F279" s="7" t="s">
        <v>836</v>
      </c>
      <c r="G279" s="7" t="s">
        <v>72</v>
      </c>
      <c r="H279" s="7" t="s">
        <v>39</v>
      </c>
      <c r="I279" s="7" t="s">
        <v>123</v>
      </c>
      <c r="J279" s="7" t="s">
        <v>40</v>
      </c>
      <c r="K279" s="7" t="s">
        <v>80</v>
      </c>
      <c r="L279" s="7" t="s">
        <v>42</v>
      </c>
      <c r="M279" s="7" t="s">
        <v>837</v>
      </c>
      <c r="N279" s="9" t="s">
        <v>32</v>
      </c>
      <c r="O279" s="9" t="s">
        <v>272</v>
      </c>
      <c r="P279" s="9" t="s">
        <v>34</v>
      </c>
      <c r="Q279" s="10" t="str">
        <f>IF(IDMaster[[#This Row],[Consumption]]="Consumption",IDMaster[[#This Row],[Consumption]],IDMaster[[#This Row],[Basis]])</f>
        <v>Revenue</v>
      </c>
      <c r="R279" s="7" t="str">
        <f>IDMaster[[#This Row],[Supported Group]]&amp;"."&amp;IDMaster[[#This Row],[Basis]]</f>
        <v>eCommerce.Revenue</v>
      </c>
      <c r="S279" s="11">
        <v>0.42185161428265983</v>
      </c>
      <c r="T279" s="12">
        <v>0.57814838571734017</v>
      </c>
      <c r="U279" s="12">
        <v>0</v>
      </c>
      <c r="V279" s="12">
        <v>0</v>
      </c>
      <c r="W279" s="12">
        <v>0</v>
      </c>
    </row>
    <row r="280" spans="1:23" x14ac:dyDescent="0.35">
      <c r="A280" s="7" t="s">
        <v>23</v>
      </c>
      <c r="B280" s="7" t="s">
        <v>838</v>
      </c>
      <c r="C280" s="15" t="s">
        <v>404</v>
      </c>
      <c r="D280" s="8">
        <v>256620</v>
      </c>
      <c r="E280" s="7" t="s">
        <v>451</v>
      </c>
      <c r="F280" s="7" t="s">
        <v>839</v>
      </c>
      <c r="G280" s="7" t="s">
        <v>72</v>
      </c>
      <c r="H280" s="7" t="s">
        <v>489</v>
      </c>
      <c r="I280" s="7" t="s">
        <v>28</v>
      </c>
      <c r="J280" s="7" t="s">
        <v>40</v>
      </c>
      <c r="K280" s="7" t="s">
        <v>840</v>
      </c>
      <c r="L280" s="7" t="s">
        <v>42</v>
      </c>
      <c r="M280" s="7" t="s">
        <v>841</v>
      </c>
      <c r="N280" s="9" t="s">
        <v>32</v>
      </c>
      <c r="O280" s="9" t="s">
        <v>407</v>
      </c>
      <c r="P280" s="9" t="s">
        <v>34</v>
      </c>
      <c r="Q280" s="10" t="str">
        <f>IF(IDMaster[[#This Row],[Consumption]]="Consumption",IDMaster[[#This Row],[Consumption]],IDMaster[[#This Row],[Basis]])</f>
        <v>Revenue</v>
      </c>
      <c r="R280" s="7" t="str">
        <f>IDMaster[[#This Row],[Supported Group]]&amp;"."&amp;IDMaster[[#This Row],[Basis]]</f>
        <v>IT Dev Tools.Revenue</v>
      </c>
      <c r="S280" s="11">
        <v>0.42185161428265983</v>
      </c>
      <c r="T280" s="12">
        <v>0.57814838571734017</v>
      </c>
      <c r="U280" s="12">
        <v>0</v>
      </c>
      <c r="V280" s="12">
        <v>0</v>
      </c>
      <c r="W280" s="12">
        <v>0</v>
      </c>
    </row>
    <row r="281" spans="1:23" x14ac:dyDescent="0.35">
      <c r="A281" s="7" t="s">
        <v>23</v>
      </c>
      <c r="B281" s="7" t="s">
        <v>842</v>
      </c>
      <c r="C281" s="7" t="s">
        <v>843</v>
      </c>
      <c r="D281" s="8">
        <v>356408</v>
      </c>
      <c r="E281" s="7" t="s">
        <v>95</v>
      </c>
      <c r="F281" s="7" t="s">
        <v>844</v>
      </c>
      <c r="G281" s="7" t="s">
        <v>97</v>
      </c>
      <c r="H281" s="7" t="s">
        <v>27</v>
      </c>
      <c r="I281" s="7" t="s">
        <v>28</v>
      </c>
      <c r="J281" s="7" t="s">
        <v>137</v>
      </c>
      <c r="K281" s="7" t="s">
        <v>80</v>
      </c>
      <c r="L281" s="7" t="s">
        <v>42</v>
      </c>
      <c r="M281" s="7" t="s">
        <v>43</v>
      </c>
      <c r="N281" s="9" t="s">
        <v>32</v>
      </c>
      <c r="O281" s="9" t="s">
        <v>99</v>
      </c>
      <c r="P281" s="9" t="s">
        <v>34</v>
      </c>
      <c r="Q281" s="10" t="str">
        <f>IF(IDMaster[[#This Row],[Consumption]]="Consumption",IDMaster[[#This Row],[Consumption]],IDMaster[[#This Row],[Basis]])</f>
        <v>Revenue</v>
      </c>
      <c r="R281" s="7" t="str">
        <f>IDMaster[[#This Row],[Supported Group]]&amp;"."&amp;IDMaster[[#This Row],[Basis]]</f>
        <v>Security.Revenue</v>
      </c>
      <c r="S281" s="11">
        <v>0.42185161428265983</v>
      </c>
      <c r="T281" s="12">
        <v>0.57814838571734017</v>
      </c>
      <c r="U281" s="12">
        <v>0</v>
      </c>
      <c r="V281" s="12">
        <v>0</v>
      </c>
      <c r="W281" s="12">
        <v>0</v>
      </c>
    </row>
    <row r="282" spans="1:23" x14ac:dyDescent="0.35">
      <c r="A282" s="7" t="s">
        <v>23</v>
      </c>
      <c r="B282" s="7" t="s">
        <v>845</v>
      </c>
      <c r="C282" s="7" t="s">
        <v>843</v>
      </c>
      <c r="D282" s="8">
        <v>356408</v>
      </c>
      <c r="E282" s="7" t="s">
        <v>95</v>
      </c>
      <c r="F282" s="7" t="s">
        <v>844</v>
      </c>
      <c r="G282" s="7" t="s">
        <v>97</v>
      </c>
      <c r="H282" s="7" t="s">
        <v>27</v>
      </c>
      <c r="I282" s="7" t="s">
        <v>28</v>
      </c>
      <c r="J282" s="7" t="s">
        <v>137</v>
      </c>
      <c r="K282" s="7" t="s">
        <v>80</v>
      </c>
      <c r="L282" s="7" t="s">
        <v>42</v>
      </c>
      <c r="M282" s="7" t="s">
        <v>43</v>
      </c>
      <c r="N282" s="9" t="s">
        <v>32</v>
      </c>
      <c r="O282" s="9" t="s">
        <v>99</v>
      </c>
      <c r="P282" s="9" t="s">
        <v>34</v>
      </c>
      <c r="Q282" s="10" t="str">
        <f>IF(IDMaster[[#This Row],[Consumption]]="Consumption",IDMaster[[#This Row],[Consumption]],IDMaster[[#This Row],[Basis]])</f>
        <v>Revenue</v>
      </c>
      <c r="R282" s="7" t="str">
        <f>IDMaster[[#This Row],[Supported Group]]&amp;"."&amp;IDMaster[[#This Row],[Basis]]</f>
        <v>Security.Revenue</v>
      </c>
      <c r="S282" s="11">
        <v>0.42185161428265983</v>
      </c>
      <c r="T282" s="12">
        <v>0.57814838571734017</v>
      </c>
      <c r="U282" s="12">
        <v>0</v>
      </c>
      <c r="V282" s="12">
        <v>0</v>
      </c>
      <c r="W282" s="12">
        <v>0</v>
      </c>
    </row>
    <row r="283" spans="1:23" x14ac:dyDescent="0.35">
      <c r="A283" s="7" t="s">
        <v>23</v>
      </c>
      <c r="B283" s="7" t="s">
        <v>846</v>
      </c>
      <c r="C283" s="7" t="s">
        <v>134</v>
      </c>
      <c r="D283" s="8">
        <v>375393</v>
      </c>
      <c r="E283" s="7" t="s">
        <v>53</v>
      </c>
      <c r="F283" s="7" t="s">
        <v>847</v>
      </c>
      <c r="G283" s="7" t="s">
        <v>55</v>
      </c>
      <c r="H283" s="7" t="s">
        <v>27</v>
      </c>
      <c r="I283" s="7" t="s">
        <v>28</v>
      </c>
      <c r="J283" s="7" t="s">
        <v>137</v>
      </c>
      <c r="K283" s="7" t="s">
        <v>508</v>
      </c>
      <c r="L283" s="7" t="s">
        <v>30</v>
      </c>
      <c r="M283" s="7" t="s">
        <v>848</v>
      </c>
      <c r="N283" s="9" t="s">
        <v>32</v>
      </c>
      <c r="O283" s="9" t="s">
        <v>195</v>
      </c>
      <c r="P283" s="9" t="s">
        <v>34</v>
      </c>
      <c r="Q283" s="10" t="str">
        <f>IF(IDMaster[[#This Row],[Consumption]]="Consumption",IDMaster[[#This Row],[Consumption]],IDMaster[[#This Row],[Basis]])</f>
        <v>Revenue</v>
      </c>
      <c r="R283" s="7" t="str">
        <f>IDMaster[[#This Row],[Supported Group]]&amp;"."&amp;IDMaster[[#This Row],[Basis]]</f>
        <v>External Labor.Revenue</v>
      </c>
      <c r="S283" s="11">
        <v>0.42185161428265983</v>
      </c>
      <c r="T283" s="12">
        <v>0.57814838571734017</v>
      </c>
      <c r="U283" s="12">
        <v>0</v>
      </c>
      <c r="V283" s="12">
        <v>0</v>
      </c>
      <c r="W283" s="12">
        <v>0</v>
      </c>
    </row>
    <row r="284" spans="1:23" x14ac:dyDescent="0.35">
      <c r="A284" s="7" t="s">
        <v>23</v>
      </c>
      <c r="B284" s="7" t="s">
        <v>849</v>
      </c>
      <c r="C284" s="7" t="s">
        <v>329</v>
      </c>
      <c r="D284" s="8">
        <v>207712</v>
      </c>
      <c r="E284" s="7" t="s">
        <v>227</v>
      </c>
      <c r="F284" s="7" t="s">
        <v>850</v>
      </c>
      <c r="G284" s="7" t="s">
        <v>48</v>
      </c>
      <c r="H284" s="7" t="s">
        <v>27</v>
      </c>
      <c r="I284" s="7" t="s">
        <v>28</v>
      </c>
      <c r="J284" s="7" t="s">
        <v>625</v>
      </c>
      <c r="K284" s="7" t="s">
        <v>80</v>
      </c>
      <c r="L284" s="7" t="s">
        <v>42</v>
      </c>
      <c r="M284" s="7" t="s">
        <v>850</v>
      </c>
      <c r="N284" s="9" t="s">
        <v>92</v>
      </c>
      <c r="O284" s="9" t="s">
        <v>33</v>
      </c>
      <c r="P284" s="9" t="s">
        <v>34</v>
      </c>
      <c r="Q284" s="10" t="str">
        <f>IF(IDMaster[[#This Row],[Consumption]]="Consumption",IDMaster[[#This Row],[Consumption]],IDMaster[[#This Row],[Basis]])</f>
        <v>Total Headcount</v>
      </c>
      <c r="R284" s="7" t="str">
        <f>IDMaster[[#This Row],[Supported Group]]&amp;"."&amp;IDMaster[[#This Row],[Basis]]</f>
        <v>IT Tools.Total Headcount</v>
      </c>
      <c r="S284" s="11">
        <v>0.69106036166058238</v>
      </c>
      <c r="T284" s="12">
        <v>0.14347567705238135</v>
      </c>
      <c r="U284" s="12">
        <v>0</v>
      </c>
      <c r="V284" s="12">
        <v>0</v>
      </c>
      <c r="W284" s="12">
        <v>0.16546396128703625</v>
      </c>
    </row>
    <row r="285" spans="1:23" x14ac:dyDescent="0.35">
      <c r="A285" s="7" t="s">
        <v>23</v>
      </c>
      <c r="B285" s="7" t="s">
        <v>851</v>
      </c>
      <c r="C285" s="7" t="s">
        <v>852</v>
      </c>
      <c r="D285" s="8">
        <v>351231</v>
      </c>
      <c r="E285" s="7" t="s">
        <v>95</v>
      </c>
      <c r="F285" s="7" t="s">
        <v>852</v>
      </c>
      <c r="G285" s="7" t="s">
        <v>97</v>
      </c>
      <c r="H285" s="7" t="s">
        <v>27</v>
      </c>
      <c r="I285" s="7" t="s">
        <v>28</v>
      </c>
      <c r="J285" s="7" t="s">
        <v>40</v>
      </c>
      <c r="K285" s="7" t="s">
        <v>80</v>
      </c>
      <c r="L285" s="7" t="s">
        <v>42</v>
      </c>
      <c r="M285" s="7" t="s">
        <v>853</v>
      </c>
      <c r="N285" s="9" t="s">
        <v>32</v>
      </c>
      <c r="O285" s="9" t="s">
        <v>99</v>
      </c>
      <c r="P285" s="9" t="s">
        <v>34</v>
      </c>
      <c r="Q285" s="10" t="str">
        <f>IF(IDMaster[[#This Row],[Consumption]]="Consumption",IDMaster[[#This Row],[Consumption]],IDMaster[[#This Row],[Basis]])</f>
        <v>Revenue</v>
      </c>
      <c r="R285" s="7" t="str">
        <f>IDMaster[[#This Row],[Supported Group]]&amp;"."&amp;IDMaster[[#This Row],[Basis]]</f>
        <v>Security.Revenue</v>
      </c>
      <c r="S285" s="11">
        <v>0.42185161428265983</v>
      </c>
      <c r="T285" s="12">
        <v>0.57814838571734017</v>
      </c>
      <c r="U285" s="12">
        <v>0</v>
      </c>
      <c r="V285" s="12">
        <v>0</v>
      </c>
      <c r="W285" s="12">
        <v>0</v>
      </c>
    </row>
    <row r="286" spans="1:23" x14ac:dyDescent="0.35">
      <c r="A286" s="7" t="s">
        <v>23</v>
      </c>
      <c r="B286" s="7" t="s">
        <v>854</v>
      </c>
      <c r="C286" s="7" t="s">
        <v>329</v>
      </c>
      <c r="D286" s="8">
        <v>207712</v>
      </c>
      <c r="E286" s="7" t="s">
        <v>46</v>
      </c>
      <c r="F286" s="7" t="s">
        <v>855</v>
      </c>
      <c r="G286" s="7" t="s">
        <v>48</v>
      </c>
      <c r="H286" s="7" t="s">
        <v>27</v>
      </c>
      <c r="I286" s="7" t="s">
        <v>28</v>
      </c>
      <c r="J286" s="7" t="s">
        <v>40</v>
      </c>
      <c r="K286" s="7" t="s">
        <v>41</v>
      </c>
      <c r="L286" s="7" t="s">
        <v>42</v>
      </c>
      <c r="M286" s="7" t="s">
        <v>856</v>
      </c>
      <c r="N286" s="9" t="s">
        <v>32</v>
      </c>
      <c r="O286" s="9" t="s">
        <v>51</v>
      </c>
      <c r="P286" s="9" t="s">
        <v>34</v>
      </c>
      <c r="Q286" s="10" t="str">
        <f>IF(IDMaster[[#This Row],[Consumption]]="Consumption",IDMaster[[#This Row],[Consumption]],IDMaster[[#This Row],[Basis]])</f>
        <v>Revenue</v>
      </c>
      <c r="R286" s="7" t="str">
        <f>IDMaster[[#This Row],[Supported Group]]&amp;"."&amp;IDMaster[[#This Row],[Basis]]</f>
        <v>IT Infrastructure.Revenue</v>
      </c>
      <c r="S286" s="11">
        <v>0.42185161428265983</v>
      </c>
      <c r="T286" s="12">
        <v>0.57814838571734017</v>
      </c>
      <c r="U286" s="12">
        <v>0</v>
      </c>
      <c r="V286" s="12">
        <v>0</v>
      </c>
      <c r="W286" s="12">
        <v>0</v>
      </c>
    </row>
    <row r="287" spans="1:23" x14ac:dyDescent="0.35">
      <c r="A287" s="7" t="s">
        <v>23</v>
      </c>
      <c r="B287" s="7" t="s">
        <v>857</v>
      </c>
      <c r="C287" s="7" t="s">
        <v>388</v>
      </c>
      <c r="D287" s="8">
        <v>368877</v>
      </c>
      <c r="E287" s="7" t="s">
        <v>95</v>
      </c>
      <c r="F287" s="7" t="s">
        <v>858</v>
      </c>
      <c r="G287" s="7" t="s">
        <v>97</v>
      </c>
      <c r="H287" s="7" t="s">
        <v>27</v>
      </c>
      <c r="I287" s="7" t="s">
        <v>28</v>
      </c>
      <c r="J287" s="7" t="s">
        <v>40</v>
      </c>
      <c r="K287" s="7" t="s">
        <v>80</v>
      </c>
      <c r="L287" s="7" t="s">
        <v>42</v>
      </c>
      <c r="M287" s="7" t="s">
        <v>43</v>
      </c>
      <c r="N287" s="9" t="s">
        <v>32</v>
      </c>
      <c r="O287" s="9" t="s">
        <v>99</v>
      </c>
      <c r="P287" s="9" t="s">
        <v>34</v>
      </c>
      <c r="Q287" s="10" t="str">
        <f>IF(IDMaster[[#This Row],[Consumption]]="Consumption",IDMaster[[#This Row],[Consumption]],IDMaster[[#This Row],[Basis]])</f>
        <v>Revenue</v>
      </c>
      <c r="R287" s="7" t="str">
        <f>IDMaster[[#This Row],[Supported Group]]&amp;"."&amp;IDMaster[[#This Row],[Basis]]</f>
        <v>Security.Revenue</v>
      </c>
      <c r="S287" s="11">
        <v>0.42185161428265983</v>
      </c>
      <c r="T287" s="12">
        <v>0.57814838571734017</v>
      </c>
      <c r="U287" s="12">
        <v>0</v>
      </c>
      <c r="V287" s="12">
        <v>0</v>
      </c>
      <c r="W287" s="12">
        <v>0</v>
      </c>
    </row>
    <row r="288" spans="1:23" x14ac:dyDescent="0.35">
      <c r="A288" s="7" t="s">
        <v>23</v>
      </c>
      <c r="B288" s="7" t="s">
        <v>859</v>
      </c>
      <c r="C288" s="7" t="s">
        <v>860</v>
      </c>
      <c r="D288" s="8">
        <v>168162</v>
      </c>
      <c r="E288" s="7" t="s">
        <v>70</v>
      </c>
      <c r="F288" s="7" t="s">
        <v>861</v>
      </c>
      <c r="G288" s="7" t="s">
        <v>72</v>
      </c>
      <c r="H288" s="7" t="s">
        <v>27</v>
      </c>
      <c r="I288" s="7" t="s">
        <v>28</v>
      </c>
      <c r="J288" s="7" t="s">
        <v>40</v>
      </c>
      <c r="K288" s="7" t="s">
        <v>80</v>
      </c>
      <c r="L288" s="7" t="s">
        <v>42</v>
      </c>
      <c r="M288" s="7" t="s">
        <v>862</v>
      </c>
      <c r="N288" s="9" t="s">
        <v>32</v>
      </c>
      <c r="O288" s="9" t="s">
        <v>863</v>
      </c>
      <c r="P288" s="9" t="s">
        <v>34</v>
      </c>
      <c r="Q288" s="10" t="str">
        <f>IF(IDMaster[[#This Row],[Consumption]]="Consumption",IDMaster[[#This Row],[Consumption]],IDMaster[[#This Row],[Basis]])</f>
        <v>Revenue</v>
      </c>
      <c r="R288" s="7" t="str">
        <f>IDMaster[[#This Row],[Supported Group]]&amp;"."&amp;IDMaster[[#This Row],[Basis]]</f>
        <v>Finance.Revenue</v>
      </c>
      <c r="S288" s="11">
        <v>0.42185161428265983</v>
      </c>
      <c r="T288" s="12">
        <v>0.57814838571734017</v>
      </c>
      <c r="U288" s="12">
        <v>0</v>
      </c>
      <c r="V288" s="12">
        <v>0</v>
      </c>
      <c r="W288" s="12">
        <v>0</v>
      </c>
    </row>
    <row r="289" spans="1:23" x14ac:dyDescent="0.35">
      <c r="A289" s="7" t="s">
        <v>23</v>
      </c>
      <c r="B289" s="7" t="s">
        <v>864</v>
      </c>
      <c r="C289" s="7" t="s">
        <v>598</v>
      </c>
      <c r="D289" s="8">
        <v>196781</v>
      </c>
      <c r="E289" s="7" t="s">
        <v>584</v>
      </c>
      <c r="F289" s="7" t="s">
        <v>865</v>
      </c>
      <c r="G289" s="7" t="s">
        <v>48</v>
      </c>
      <c r="H289" s="7" t="s">
        <v>27</v>
      </c>
      <c r="I289" s="7" t="s">
        <v>28</v>
      </c>
      <c r="J289" s="7" t="s">
        <v>40</v>
      </c>
      <c r="K289" s="7" t="s">
        <v>80</v>
      </c>
      <c r="L289" s="7" t="s">
        <v>42</v>
      </c>
      <c r="M289" s="7" t="s">
        <v>43</v>
      </c>
      <c r="N289" s="9" t="s">
        <v>92</v>
      </c>
      <c r="O289" s="9" t="s">
        <v>44</v>
      </c>
      <c r="P289" s="9" t="s">
        <v>34</v>
      </c>
      <c r="Q289" s="10" t="str">
        <f>IF(IDMaster[[#This Row],[Consumption]]="Consumption",IDMaster[[#This Row],[Consumption]],IDMaster[[#This Row],[Basis]])</f>
        <v>Total Headcount</v>
      </c>
      <c r="R289" s="7" t="str">
        <f>IDMaster[[#This Row],[Supported Group]]&amp;"."&amp;IDMaster[[#This Row],[Basis]]</f>
        <v>Corporate.Total Headcount</v>
      </c>
      <c r="S289" s="11">
        <v>0.69106036166058238</v>
      </c>
      <c r="T289" s="12">
        <v>0.14347567705238135</v>
      </c>
      <c r="U289" s="12">
        <v>0</v>
      </c>
      <c r="V289" s="12">
        <v>0</v>
      </c>
      <c r="W289" s="12">
        <v>0.16546396128703625</v>
      </c>
    </row>
    <row r="290" spans="1:23" x14ac:dyDescent="0.35">
      <c r="A290" s="7" t="s">
        <v>23</v>
      </c>
      <c r="B290" s="7" t="s">
        <v>866</v>
      </c>
      <c r="C290" s="7" t="s">
        <v>388</v>
      </c>
      <c r="D290" s="8">
        <v>368877</v>
      </c>
      <c r="E290" s="7" t="s">
        <v>370</v>
      </c>
      <c r="F290" s="7" t="s">
        <v>867</v>
      </c>
      <c r="G290" s="7" t="s">
        <v>97</v>
      </c>
      <c r="H290" s="7" t="s">
        <v>27</v>
      </c>
      <c r="I290" s="7" t="s">
        <v>28</v>
      </c>
      <c r="J290" s="7" t="s">
        <v>40</v>
      </c>
      <c r="K290" s="7" t="s">
        <v>80</v>
      </c>
      <c r="L290" s="7" t="s">
        <v>42</v>
      </c>
      <c r="M290" s="7" t="s">
        <v>43</v>
      </c>
      <c r="N290" s="9" t="s">
        <v>32</v>
      </c>
      <c r="O290" s="9" t="s">
        <v>99</v>
      </c>
      <c r="P290" s="9" t="s">
        <v>34</v>
      </c>
      <c r="Q290" s="10" t="str">
        <f>IF(IDMaster[[#This Row],[Consumption]]="Consumption",IDMaster[[#This Row],[Consumption]],IDMaster[[#This Row],[Basis]])</f>
        <v>Revenue</v>
      </c>
      <c r="R290" s="7" t="str">
        <f>IDMaster[[#This Row],[Supported Group]]&amp;"."&amp;IDMaster[[#This Row],[Basis]]</f>
        <v>Security.Revenue</v>
      </c>
      <c r="S290" s="11">
        <v>0.42185161428265983</v>
      </c>
      <c r="T290" s="12">
        <v>0.57814838571734017</v>
      </c>
      <c r="U290" s="12">
        <v>0</v>
      </c>
      <c r="V290" s="12">
        <v>0</v>
      </c>
      <c r="W290" s="12">
        <v>0</v>
      </c>
    </row>
    <row r="291" spans="1:23" x14ac:dyDescent="0.35">
      <c r="A291" s="7" t="s">
        <v>23</v>
      </c>
      <c r="B291" s="7" t="s">
        <v>868</v>
      </c>
      <c r="C291" s="7" t="s">
        <v>388</v>
      </c>
      <c r="D291" s="8">
        <v>368877</v>
      </c>
      <c r="E291" s="7" t="s">
        <v>370</v>
      </c>
      <c r="F291" s="7" t="s">
        <v>869</v>
      </c>
      <c r="G291" s="7" t="s">
        <v>97</v>
      </c>
      <c r="H291" s="7" t="s">
        <v>27</v>
      </c>
      <c r="I291" s="7" t="s">
        <v>28</v>
      </c>
      <c r="J291" s="7" t="s">
        <v>40</v>
      </c>
      <c r="K291" s="7" t="s">
        <v>80</v>
      </c>
      <c r="L291" s="7" t="s">
        <v>42</v>
      </c>
      <c r="M291" s="7" t="s">
        <v>43</v>
      </c>
      <c r="N291" s="9" t="s">
        <v>32</v>
      </c>
      <c r="O291" s="9" t="s">
        <v>99</v>
      </c>
      <c r="P291" s="9" t="s">
        <v>34</v>
      </c>
      <c r="Q291" s="10" t="str">
        <f>IF(IDMaster[[#This Row],[Consumption]]="Consumption",IDMaster[[#This Row],[Consumption]],IDMaster[[#This Row],[Basis]])</f>
        <v>Revenue</v>
      </c>
      <c r="R291" s="7" t="str">
        <f>IDMaster[[#This Row],[Supported Group]]&amp;"."&amp;IDMaster[[#This Row],[Basis]]</f>
        <v>Security.Revenue</v>
      </c>
      <c r="S291" s="11">
        <v>0.42185161428265983</v>
      </c>
      <c r="T291" s="12">
        <v>0.57814838571734017</v>
      </c>
      <c r="U291" s="12">
        <v>0</v>
      </c>
      <c r="V291" s="12">
        <v>0</v>
      </c>
      <c r="W291" s="12">
        <v>0</v>
      </c>
    </row>
    <row r="292" spans="1:23" x14ac:dyDescent="0.35">
      <c r="A292" s="7" t="s">
        <v>23</v>
      </c>
      <c r="B292" s="7" t="s">
        <v>870</v>
      </c>
      <c r="C292" s="7" t="s">
        <v>388</v>
      </c>
      <c r="D292" s="8">
        <v>368877</v>
      </c>
      <c r="E292" s="7" t="s">
        <v>370</v>
      </c>
      <c r="F292" s="7" t="s">
        <v>871</v>
      </c>
      <c r="G292" s="7" t="s">
        <v>97</v>
      </c>
      <c r="H292" s="7" t="s">
        <v>27</v>
      </c>
      <c r="I292" s="7" t="s">
        <v>28</v>
      </c>
      <c r="J292" s="7" t="s">
        <v>40</v>
      </c>
      <c r="K292" s="7" t="s">
        <v>80</v>
      </c>
      <c r="L292" s="7" t="s">
        <v>42</v>
      </c>
      <c r="M292" s="7" t="s">
        <v>872</v>
      </c>
      <c r="N292" s="9" t="s">
        <v>32</v>
      </c>
      <c r="O292" s="9" t="s">
        <v>99</v>
      </c>
      <c r="P292" s="9" t="s">
        <v>34</v>
      </c>
      <c r="Q292" s="10" t="str">
        <f>IF(IDMaster[[#This Row],[Consumption]]="Consumption",IDMaster[[#This Row],[Consumption]],IDMaster[[#This Row],[Basis]])</f>
        <v>Revenue</v>
      </c>
      <c r="R292" s="7" t="str">
        <f>IDMaster[[#This Row],[Supported Group]]&amp;"."&amp;IDMaster[[#This Row],[Basis]]</f>
        <v>Security.Revenue</v>
      </c>
      <c r="S292" s="11">
        <v>0.42185161428265983</v>
      </c>
      <c r="T292" s="12">
        <v>0.57814838571734017</v>
      </c>
      <c r="U292" s="12">
        <v>0</v>
      </c>
      <c r="V292" s="12">
        <v>0</v>
      </c>
      <c r="W292" s="12">
        <v>0</v>
      </c>
    </row>
    <row r="293" spans="1:23" x14ac:dyDescent="0.35">
      <c r="A293" s="7" t="s">
        <v>23</v>
      </c>
      <c r="B293" s="7" t="s">
        <v>873</v>
      </c>
      <c r="C293" s="7" t="s">
        <v>388</v>
      </c>
      <c r="D293" s="8">
        <v>368877</v>
      </c>
      <c r="E293" s="7" t="s">
        <v>95</v>
      </c>
      <c r="F293" s="7" t="s">
        <v>874</v>
      </c>
      <c r="G293" s="7" t="s">
        <v>97</v>
      </c>
      <c r="H293" s="7" t="s">
        <v>27</v>
      </c>
      <c r="I293" s="7" t="s">
        <v>28</v>
      </c>
      <c r="J293" s="7" t="s">
        <v>40</v>
      </c>
      <c r="K293" s="7" t="s">
        <v>80</v>
      </c>
      <c r="L293" s="7" t="s">
        <v>42</v>
      </c>
      <c r="M293" s="7" t="s">
        <v>43</v>
      </c>
      <c r="N293" s="9" t="s">
        <v>32</v>
      </c>
      <c r="O293" s="9" t="s">
        <v>99</v>
      </c>
      <c r="P293" s="9" t="s">
        <v>34</v>
      </c>
      <c r="Q293" s="10" t="str">
        <f>IF(IDMaster[[#This Row],[Consumption]]="Consumption",IDMaster[[#This Row],[Consumption]],IDMaster[[#This Row],[Basis]])</f>
        <v>Revenue</v>
      </c>
      <c r="R293" s="7" t="str">
        <f>IDMaster[[#This Row],[Supported Group]]&amp;"."&amp;IDMaster[[#This Row],[Basis]]</f>
        <v>Security.Revenue</v>
      </c>
      <c r="S293" s="11">
        <v>0.42185161428265983</v>
      </c>
      <c r="T293" s="12">
        <v>0.57814838571734017</v>
      </c>
      <c r="U293" s="12">
        <v>0</v>
      </c>
      <c r="V293" s="12">
        <v>0</v>
      </c>
      <c r="W293" s="12">
        <v>0</v>
      </c>
    </row>
    <row r="294" spans="1:23" x14ac:dyDescent="0.35">
      <c r="A294" s="7" t="s">
        <v>23</v>
      </c>
      <c r="B294" s="7" t="s">
        <v>875</v>
      </c>
      <c r="C294" s="7" t="s">
        <v>388</v>
      </c>
      <c r="D294" s="8">
        <v>368877</v>
      </c>
      <c r="E294" s="7" t="s">
        <v>95</v>
      </c>
      <c r="F294" s="7" t="s">
        <v>876</v>
      </c>
      <c r="G294" s="7" t="s">
        <v>97</v>
      </c>
      <c r="H294" s="7" t="s">
        <v>27</v>
      </c>
      <c r="I294" s="7" t="s">
        <v>28</v>
      </c>
      <c r="J294" s="7" t="s">
        <v>40</v>
      </c>
      <c r="K294" s="7" t="s">
        <v>80</v>
      </c>
      <c r="L294" s="7" t="s">
        <v>42</v>
      </c>
      <c r="M294" s="7" t="s">
        <v>43</v>
      </c>
      <c r="N294" s="9" t="s">
        <v>32</v>
      </c>
      <c r="O294" s="9" t="s">
        <v>99</v>
      </c>
      <c r="P294" s="9" t="s">
        <v>34</v>
      </c>
      <c r="Q294" s="10" t="str">
        <f>IF(IDMaster[[#This Row],[Consumption]]="Consumption",IDMaster[[#This Row],[Consumption]],IDMaster[[#This Row],[Basis]])</f>
        <v>Revenue</v>
      </c>
      <c r="R294" s="7" t="str">
        <f>IDMaster[[#This Row],[Supported Group]]&amp;"."&amp;IDMaster[[#This Row],[Basis]]</f>
        <v>Security.Revenue</v>
      </c>
      <c r="S294" s="11">
        <v>0.42185161428265983</v>
      </c>
      <c r="T294" s="12">
        <v>0.57814838571734017</v>
      </c>
      <c r="U294" s="12">
        <v>0</v>
      </c>
      <c r="V294" s="12">
        <v>0</v>
      </c>
      <c r="W294" s="12">
        <v>0</v>
      </c>
    </row>
    <row r="295" spans="1:23" x14ac:dyDescent="0.35">
      <c r="A295" s="7" t="s">
        <v>23</v>
      </c>
      <c r="B295" s="7" t="s">
        <v>877</v>
      </c>
      <c r="C295" s="7" t="s">
        <v>878</v>
      </c>
      <c r="D295" s="8">
        <v>290563</v>
      </c>
      <c r="E295" s="7" t="s">
        <v>879</v>
      </c>
      <c r="F295" s="7" t="s">
        <v>880</v>
      </c>
      <c r="G295" s="7" t="s">
        <v>72</v>
      </c>
      <c r="H295" s="7" t="s">
        <v>27</v>
      </c>
      <c r="I295" s="7" t="s">
        <v>28</v>
      </c>
      <c r="J295" s="7" t="s">
        <v>40</v>
      </c>
      <c r="K295" s="7" t="s">
        <v>80</v>
      </c>
      <c r="L295" s="7" t="s">
        <v>42</v>
      </c>
      <c r="M295" s="7" t="s">
        <v>881</v>
      </c>
      <c r="N295" s="9" t="s">
        <v>32</v>
      </c>
      <c r="O295" s="9" t="s">
        <v>44</v>
      </c>
      <c r="P295" s="9" t="s">
        <v>34</v>
      </c>
      <c r="Q295" s="10" t="str">
        <f>IF(IDMaster[[#This Row],[Consumption]]="Consumption",IDMaster[[#This Row],[Consumption]],IDMaster[[#This Row],[Basis]])</f>
        <v>Revenue</v>
      </c>
      <c r="R295" s="7" t="str">
        <f>IDMaster[[#This Row],[Supported Group]]&amp;"."&amp;IDMaster[[#This Row],[Basis]]</f>
        <v>Corporate.Revenue</v>
      </c>
      <c r="S295" s="11">
        <v>0.42185161428265983</v>
      </c>
      <c r="T295" s="12">
        <v>0.57814838571734017</v>
      </c>
      <c r="U295" s="12">
        <v>0</v>
      </c>
      <c r="V295" s="12">
        <v>0</v>
      </c>
      <c r="W295" s="12">
        <v>0</v>
      </c>
    </row>
    <row r="296" spans="1:23" x14ac:dyDescent="0.35">
      <c r="A296" s="7" t="s">
        <v>23</v>
      </c>
      <c r="B296" s="7" t="s">
        <v>882</v>
      </c>
      <c r="C296" s="7" t="s">
        <v>883</v>
      </c>
      <c r="D296" s="8">
        <v>381696</v>
      </c>
      <c r="E296" s="7" t="s">
        <v>260</v>
      </c>
      <c r="F296" s="7" t="s">
        <v>884</v>
      </c>
      <c r="G296" s="7" t="s">
        <v>48</v>
      </c>
      <c r="H296" s="7" t="s">
        <v>27</v>
      </c>
      <c r="I296" s="7" t="s">
        <v>28</v>
      </c>
      <c r="J296" s="7" t="s">
        <v>40</v>
      </c>
      <c r="K296" s="7" t="s">
        <v>80</v>
      </c>
      <c r="L296" s="7" t="s">
        <v>42</v>
      </c>
      <c r="M296" s="7" t="s">
        <v>885</v>
      </c>
      <c r="N296" s="9" t="s">
        <v>32</v>
      </c>
      <c r="O296" s="9" t="s">
        <v>407</v>
      </c>
      <c r="P296" s="9" t="s">
        <v>34</v>
      </c>
      <c r="Q296" s="10" t="str">
        <f>IF(IDMaster[[#This Row],[Consumption]]="Consumption",IDMaster[[#This Row],[Consumption]],IDMaster[[#This Row],[Basis]])</f>
        <v>Revenue</v>
      </c>
      <c r="R296" s="7" t="str">
        <f>IDMaster[[#This Row],[Supported Group]]&amp;"."&amp;IDMaster[[#This Row],[Basis]]</f>
        <v>IT Dev Tools.Revenue</v>
      </c>
      <c r="S296" s="11">
        <v>0.42185161428265983</v>
      </c>
      <c r="T296" s="12">
        <v>0.57814838571734017</v>
      </c>
      <c r="U296" s="12">
        <v>0</v>
      </c>
      <c r="V296" s="12">
        <v>0</v>
      </c>
      <c r="W296" s="12">
        <v>0</v>
      </c>
    </row>
    <row r="297" spans="1:23" x14ac:dyDescent="0.35">
      <c r="A297" s="7" t="s">
        <v>23</v>
      </c>
      <c r="B297" s="7" t="s">
        <v>886</v>
      </c>
      <c r="C297" s="7" t="s">
        <v>887</v>
      </c>
      <c r="D297" s="8">
        <v>358107</v>
      </c>
      <c r="E297" s="7" t="s">
        <v>270</v>
      </c>
      <c r="F297" s="7" t="s">
        <v>888</v>
      </c>
      <c r="G297" s="7" t="s">
        <v>72</v>
      </c>
      <c r="H297" s="7" t="s">
        <v>27</v>
      </c>
      <c r="I297" s="7" t="s">
        <v>28</v>
      </c>
      <c r="J297" s="7" t="s">
        <v>40</v>
      </c>
      <c r="K297" s="7" t="s">
        <v>80</v>
      </c>
      <c r="L297" s="7" t="s">
        <v>42</v>
      </c>
      <c r="M297" s="7" t="s">
        <v>889</v>
      </c>
      <c r="N297" s="9" t="s">
        <v>32</v>
      </c>
      <c r="O297" s="9" t="s">
        <v>51</v>
      </c>
      <c r="P297" s="9" t="s">
        <v>34</v>
      </c>
      <c r="Q297" s="10" t="str">
        <f>IF(IDMaster[[#This Row],[Consumption]]="Consumption",IDMaster[[#This Row],[Consumption]],IDMaster[[#This Row],[Basis]])</f>
        <v>Revenue</v>
      </c>
      <c r="R297" s="7" t="str">
        <f>IDMaster[[#This Row],[Supported Group]]&amp;"."&amp;IDMaster[[#This Row],[Basis]]</f>
        <v>IT Infrastructure.Revenue</v>
      </c>
      <c r="S297" s="11">
        <v>0.42185161428265983</v>
      </c>
      <c r="T297" s="12">
        <v>0.57814838571734017</v>
      </c>
      <c r="U297" s="12">
        <v>0</v>
      </c>
      <c r="V297" s="12">
        <v>0</v>
      </c>
      <c r="W297" s="12">
        <v>0</v>
      </c>
    </row>
    <row r="298" spans="1:23" x14ac:dyDescent="0.35">
      <c r="A298" s="7" t="s">
        <v>23</v>
      </c>
      <c r="B298" s="7" t="s">
        <v>890</v>
      </c>
      <c r="C298" s="7" t="s">
        <v>891</v>
      </c>
      <c r="D298" s="8">
        <v>363704</v>
      </c>
      <c r="E298" s="7" t="s">
        <v>584</v>
      </c>
      <c r="F298" s="7" t="s">
        <v>892</v>
      </c>
      <c r="G298" s="7" t="s">
        <v>48</v>
      </c>
      <c r="H298" s="7" t="s">
        <v>27</v>
      </c>
      <c r="I298" s="7" t="s">
        <v>28</v>
      </c>
      <c r="J298" s="7" t="s">
        <v>137</v>
      </c>
      <c r="K298" s="7" t="s">
        <v>63</v>
      </c>
      <c r="L298" s="7" t="s">
        <v>30</v>
      </c>
      <c r="M298" s="7" t="s">
        <v>43</v>
      </c>
      <c r="N298" s="9" t="s">
        <v>32</v>
      </c>
      <c r="O298" s="9" t="s">
        <v>67</v>
      </c>
      <c r="P298" s="9" t="s">
        <v>34</v>
      </c>
      <c r="Q298" s="10" t="str">
        <f>IF(IDMaster[[#This Row],[Consumption]]="Consumption",IDMaster[[#This Row],[Consumption]],IDMaster[[#This Row],[Basis]])</f>
        <v>Revenue</v>
      </c>
      <c r="R298" s="7" t="str">
        <f>IDMaster[[#This Row],[Supported Group]]&amp;"."&amp;IDMaster[[#This Row],[Basis]]</f>
        <v>IT Corporate.Revenue</v>
      </c>
      <c r="S298" s="11">
        <v>0.42185161428265983</v>
      </c>
      <c r="T298" s="12">
        <v>0.57814838571734017</v>
      </c>
      <c r="U298" s="12">
        <v>0</v>
      </c>
      <c r="V298" s="12">
        <v>0</v>
      </c>
      <c r="W298" s="12">
        <v>0</v>
      </c>
    </row>
    <row r="299" spans="1:23" x14ac:dyDescent="0.35">
      <c r="A299" s="7" t="s">
        <v>23</v>
      </c>
      <c r="B299" s="7" t="s">
        <v>893</v>
      </c>
      <c r="C299" s="7" t="s">
        <v>894</v>
      </c>
      <c r="D299" s="8">
        <v>370078</v>
      </c>
      <c r="E299" s="7" t="s">
        <v>95</v>
      </c>
      <c r="F299" s="7" t="s">
        <v>895</v>
      </c>
      <c r="G299" s="7" t="s">
        <v>97</v>
      </c>
      <c r="H299" s="7" t="s">
        <v>27</v>
      </c>
      <c r="I299" s="7" t="s">
        <v>28</v>
      </c>
      <c r="J299" s="7" t="s">
        <v>40</v>
      </c>
      <c r="K299" s="7" t="s">
        <v>41</v>
      </c>
      <c r="L299" s="7" t="s">
        <v>42</v>
      </c>
      <c r="M299" s="7" t="s">
        <v>896</v>
      </c>
      <c r="N299" s="9" t="s">
        <v>32</v>
      </c>
      <c r="O299" s="9" t="s">
        <v>99</v>
      </c>
      <c r="P299" s="9" t="s">
        <v>34</v>
      </c>
      <c r="Q299" s="10" t="str">
        <f>IF(IDMaster[[#This Row],[Consumption]]="Consumption",IDMaster[[#This Row],[Consumption]],IDMaster[[#This Row],[Basis]])</f>
        <v>Revenue</v>
      </c>
      <c r="R299" s="7" t="str">
        <f>IDMaster[[#This Row],[Supported Group]]&amp;"."&amp;IDMaster[[#This Row],[Basis]]</f>
        <v>Security.Revenue</v>
      </c>
      <c r="S299" s="11">
        <v>0.42185161428265983</v>
      </c>
      <c r="T299" s="12">
        <v>0.57814838571734017</v>
      </c>
      <c r="U299" s="12">
        <v>0</v>
      </c>
      <c r="V299" s="12">
        <v>0</v>
      </c>
      <c r="W299" s="12">
        <v>0</v>
      </c>
    </row>
    <row r="300" spans="1:23" x14ac:dyDescent="0.35">
      <c r="A300" s="7" t="s">
        <v>23</v>
      </c>
      <c r="B300" s="7" t="s">
        <v>897</v>
      </c>
      <c r="C300" s="15" t="s">
        <v>598</v>
      </c>
      <c r="D300" s="8">
        <v>196781</v>
      </c>
      <c r="E300" s="7" t="s">
        <v>584</v>
      </c>
      <c r="F300" s="7" t="s">
        <v>898</v>
      </c>
      <c r="G300" s="7" t="s">
        <v>48</v>
      </c>
      <c r="H300" s="7" t="s">
        <v>27</v>
      </c>
      <c r="I300" s="7" t="s">
        <v>28</v>
      </c>
      <c r="J300" s="7" t="s">
        <v>40</v>
      </c>
      <c r="K300" s="7" t="s">
        <v>80</v>
      </c>
      <c r="L300" s="7" t="s">
        <v>42</v>
      </c>
      <c r="M300" s="7" t="s">
        <v>43</v>
      </c>
      <c r="N300" s="9" t="s">
        <v>92</v>
      </c>
      <c r="O300" s="9" t="s">
        <v>44</v>
      </c>
      <c r="P300" s="9" t="s">
        <v>34</v>
      </c>
      <c r="Q300" s="10" t="str">
        <f>IF(IDMaster[[#This Row],[Consumption]]="Consumption",IDMaster[[#This Row],[Consumption]],IDMaster[[#This Row],[Basis]])</f>
        <v>Total Headcount</v>
      </c>
      <c r="R300" s="7" t="str">
        <f>IDMaster[[#This Row],[Supported Group]]&amp;"."&amp;IDMaster[[#This Row],[Basis]]</f>
        <v>Corporate.Total Headcount</v>
      </c>
      <c r="S300" s="11">
        <v>0.69106036166058238</v>
      </c>
      <c r="T300" s="12">
        <v>0.14347567705238135</v>
      </c>
      <c r="U300" s="12">
        <v>0</v>
      </c>
      <c r="V300" s="12">
        <v>0</v>
      </c>
      <c r="W300" s="12">
        <v>0.16546396128703625</v>
      </c>
    </row>
    <row r="301" spans="1:23" x14ac:dyDescent="0.35">
      <c r="A301" s="7" t="s">
        <v>23</v>
      </c>
      <c r="B301" s="7" t="s">
        <v>899</v>
      </c>
      <c r="C301" s="7" t="s">
        <v>891</v>
      </c>
      <c r="D301" s="8">
        <v>363704</v>
      </c>
      <c r="E301" s="7" t="s">
        <v>584</v>
      </c>
      <c r="F301" s="7" t="s">
        <v>900</v>
      </c>
      <c r="G301" s="7" t="s">
        <v>48</v>
      </c>
      <c r="H301" s="7" t="s">
        <v>27</v>
      </c>
      <c r="I301" s="7" t="s">
        <v>28</v>
      </c>
      <c r="J301" s="7" t="s">
        <v>137</v>
      </c>
      <c r="K301" s="7" t="s">
        <v>63</v>
      </c>
      <c r="L301" s="7" t="s">
        <v>30</v>
      </c>
      <c r="M301" s="7" t="s">
        <v>43</v>
      </c>
      <c r="N301" s="9" t="s">
        <v>32</v>
      </c>
      <c r="O301" s="9" t="s">
        <v>67</v>
      </c>
      <c r="P301" s="9" t="s">
        <v>34</v>
      </c>
      <c r="Q301" s="10" t="str">
        <f>IF(IDMaster[[#This Row],[Consumption]]="Consumption",IDMaster[[#This Row],[Consumption]],IDMaster[[#This Row],[Basis]])</f>
        <v>Revenue</v>
      </c>
      <c r="R301" s="7" t="str">
        <f>IDMaster[[#This Row],[Supported Group]]&amp;"."&amp;IDMaster[[#This Row],[Basis]]</f>
        <v>IT Corporate.Revenue</v>
      </c>
      <c r="S301" s="11">
        <v>0.42185161428265983</v>
      </c>
      <c r="T301" s="12">
        <v>0.57814838571734017</v>
      </c>
      <c r="U301" s="12">
        <v>0</v>
      </c>
      <c r="V301" s="12">
        <v>0</v>
      </c>
      <c r="W301" s="12">
        <v>0</v>
      </c>
    </row>
    <row r="302" spans="1:23" x14ac:dyDescent="0.35">
      <c r="A302" s="7" t="s">
        <v>23</v>
      </c>
      <c r="B302" s="7" t="s">
        <v>901</v>
      </c>
      <c r="C302" s="7" t="s">
        <v>902</v>
      </c>
      <c r="D302" s="8"/>
      <c r="E302" s="7" t="s">
        <v>70</v>
      </c>
      <c r="F302" s="7" t="s">
        <v>903</v>
      </c>
      <c r="G302" s="7" t="s">
        <v>72</v>
      </c>
      <c r="H302" s="7" t="s">
        <v>489</v>
      </c>
      <c r="I302" s="7" t="s">
        <v>28</v>
      </c>
      <c r="J302" s="7" t="s">
        <v>137</v>
      </c>
      <c r="K302" s="7" t="s">
        <v>508</v>
      </c>
      <c r="L302" s="7" t="s">
        <v>30</v>
      </c>
      <c r="M302" s="7" t="s">
        <v>43</v>
      </c>
      <c r="N302" s="9" t="s">
        <v>32</v>
      </c>
      <c r="O302" s="9" t="s">
        <v>67</v>
      </c>
      <c r="P302" s="9" t="s">
        <v>34</v>
      </c>
      <c r="Q302" s="10" t="str">
        <f>IF(IDMaster[[#This Row],[Consumption]]="Consumption",IDMaster[[#This Row],[Consumption]],IDMaster[[#This Row],[Basis]])</f>
        <v>Revenue</v>
      </c>
      <c r="R302" s="7" t="str">
        <f>IDMaster[[#This Row],[Supported Group]]&amp;"."&amp;IDMaster[[#This Row],[Basis]]</f>
        <v>IT Corporate.Revenue</v>
      </c>
      <c r="S302" s="11">
        <v>0.42185161428265983</v>
      </c>
      <c r="T302" s="12">
        <v>0.57814838571734017</v>
      </c>
      <c r="U302" s="12">
        <v>0</v>
      </c>
      <c r="V302" s="12">
        <v>0</v>
      </c>
      <c r="W302" s="12">
        <v>0</v>
      </c>
    </row>
    <row r="303" spans="1:23" x14ac:dyDescent="0.35">
      <c r="A303" s="7" t="s">
        <v>23</v>
      </c>
      <c r="B303" s="7" t="s">
        <v>904</v>
      </c>
      <c r="C303" s="7" t="s">
        <v>905</v>
      </c>
      <c r="D303" s="8">
        <v>364534</v>
      </c>
      <c r="E303" s="7" t="s">
        <v>227</v>
      </c>
      <c r="F303" s="7" t="s">
        <v>906</v>
      </c>
      <c r="G303" s="7" t="s">
        <v>48</v>
      </c>
      <c r="H303" s="7" t="s">
        <v>39</v>
      </c>
      <c r="I303" s="7" t="s">
        <v>123</v>
      </c>
      <c r="J303" s="7" t="s">
        <v>137</v>
      </c>
      <c r="K303" s="7" t="s">
        <v>29</v>
      </c>
      <c r="L303" s="7" t="s">
        <v>30</v>
      </c>
      <c r="M303" s="7" t="s">
        <v>43</v>
      </c>
      <c r="N303" s="9" t="s">
        <v>692</v>
      </c>
      <c r="O303" s="9" t="s">
        <v>608</v>
      </c>
      <c r="P303" s="9" t="s">
        <v>34</v>
      </c>
      <c r="Q303" s="10" t="str">
        <f>IF(IDMaster[[#This Row],[Consumption]]="Consumption",IDMaster[[#This Row],[Consumption]],IDMaster[[#This Row],[Basis]])</f>
        <v>Store Count</v>
      </c>
      <c r="R303" s="7" t="str">
        <f>IDMaster[[#This Row],[Supported Group]]&amp;"."&amp;IDMaster[[#This Row],[Basis]]</f>
        <v>Store Operations.Store Count</v>
      </c>
      <c r="S303" s="11">
        <v>0.7087214225232854</v>
      </c>
      <c r="T303" s="12">
        <v>0.29127857747671465</v>
      </c>
      <c r="U303" s="12">
        <v>0</v>
      </c>
      <c r="V303" s="12">
        <v>0</v>
      </c>
      <c r="W303" s="12">
        <v>0</v>
      </c>
    </row>
    <row r="304" spans="1:23" x14ac:dyDescent="0.35">
      <c r="A304" s="7" t="s">
        <v>23</v>
      </c>
      <c r="B304" s="7" t="s">
        <v>907</v>
      </c>
      <c r="C304" s="7" t="s">
        <v>908</v>
      </c>
      <c r="D304" s="8">
        <v>293070</v>
      </c>
      <c r="E304" s="7" t="s">
        <v>46</v>
      </c>
      <c r="F304" s="7" t="s">
        <v>909</v>
      </c>
      <c r="G304" s="7" t="s">
        <v>48</v>
      </c>
      <c r="H304" s="7" t="s">
        <v>39</v>
      </c>
      <c r="I304" s="7" t="s">
        <v>28</v>
      </c>
      <c r="J304" s="7" t="s">
        <v>625</v>
      </c>
      <c r="K304" s="7" t="s">
        <v>29</v>
      </c>
      <c r="L304" s="7" t="s">
        <v>30</v>
      </c>
      <c r="M304" s="7" t="s">
        <v>43</v>
      </c>
      <c r="N304" s="9" t="s">
        <v>92</v>
      </c>
      <c r="O304" s="9" t="s">
        <v>538</v>
      </c>
      <c r="P304" s="9" t="s">
        <v>34</v>
      </c>
      <c r="Q304" s="10" t="str">
        <f>IF(IDMaster[[#This Row],[Consumption]]="Consumption",IDMaster[[#This Row],[Consumption]],IDMaster[[#This Row],[Basis]])</f>
        <v>Total Headcount</v>
      </c>
      <c r="R304" s="7" t="str">
        <f>IDMaster[[#This Row],[Supported Group]]&amp;"."&amp;IDMaster[[#This Row],[Basis]]</f>
        <v>RAC.Total Headcount</v>
      </c>
      <c r="S304" s="11">
        <v>0.69106036166058238</v>
      </c>
      <c r="T304" s="12">
        <v>0.14347567705238135</v>
      </c>
      <c r="U304" s="12">
        <v>0</v>
      </c>
      <c r="V304" s="12">
        <v>0</v>
      </c>
      <c r="W304" s="12">
        <v>0.16546396128703625</v>
      </c>
    </row>
    <row r="305" spans="1:23" x14ac:dyDescent="0.35">
      <c r="A305" s="7" t="s">
        <v>23</v>
      </c>
      <c r="B305" s="7" t="s">
        <v>910</v>
      </c>
      <c r="C305" s="7" t="s">
        <v>911</v>
      </c>
      <c r="D305" s="8">
        <v>78398</v>
      </c>
      <c r="E305" s="7" t="s">
        <v>584</v>
      </c>
      <c r="F305" s="7" t="s">
        <v>911</v>
      </c>
      <c r="G305" s="7" t="s">
        <v>48</v>
      </c>
      <c r="H305" s="7" t="s">
        <v>27</v>
      </c>
      <c r="I305" s="7" t="s">
        <v>28</v>
      </c>
      <c r="J305" s="7" t="s">
        <v>267</v>
      </c>
      <c r="K305" s="7" t="s">
        <v>690</v>
      </c>
      <c r="L305" s="7" t="s">
        <v>691</v>
      </c>
      <c r="M305" s="7" t="s">
        <v>43</v>
      </c>
      <c r="N305" s="9" t="s">
        <v>32</v>
      </c>
      <c r="O305" s="9" t="s">
        <v>67</v>
      </c>
      <c r="P305" s="9" t="s">
        <v>34</v>
      </c>
      <c r="Q305" s="10" t="str">
        <f>IF(IDMaster[[#This Row],[Consumption]]="Consumption",IDMaster[[#This Row],[Consumption]],IDMaster[[#This Row],[Basis]])</f>
        <v>Revenue</v>
      </c>
      <c r="R305" s="7" t="str">
        <f>IDMaster[[#This Row],[Supported Group]]&amp;"."&amp;IDMaster[[#This Row],[Basis]]</f>
        <v>IT Corporate.Revenue</v>
      </c>
      <c r="S305" s="11">
        <v>0.42185161428265983</v>
      </c>
      <c r="T305" s="12">
        <v>0.57814838571734017</v>
      </c>
      <c r="U305" s="12">
        <v>0</v>
      </c>
      <c r="V305" s="12">
        <v>0</v>
      </c>
      <c r="W305" s="12">
        <v>0</v>
      </c>
    </row>
    <row r="306" spans="1:23" x14ac:dyDescent="0.35">
      <c r="A306" s="7" t="s">
        <v>23</v>
      </c>
      <c r="B306" s="7" t="s">
        <v>912</v>
      </c>
      <c r="C306" s="7" t="s">
        <v>913</v>
      </c>
      <c r="D306" s="8">
        <v>317575</v>
      </c>
      <c r="E306" s="7" t="s">
        <v>46</v>
      </c>
      <c r="F306" s="7" t="s">
        <v>914</v>
      </c>
      <c r="G306" s="7" t="s">
        <v>48</v>
      </c>
      <c r="H306" s="7" t="s">
        <v>489</v>
      </c>
      <c r="I306" s="7" t="s">
        <v>28</v>
      </c>
      <c r="J306" s="7" t="s">
        <v>40</v>
      </c>
      <c r="K306" s="7" t="s">
        <v>41</v>
      </c>
      <c r="L306" s="7" t="s">
        <v>42</v>
      </c>
      <c r="M306" s="7" t="s">
        <v>43</v>
      </c>
      <c r="N306" s="9" t="s">
        <v>32</v>
      </c>
      <c r="O306" s="9" t="s">
        <v>33</v>
      </c>
      <c r="P306" s="9" t="s">
        <v>34</v>
      </c>
      <c r="Q306" s="10" t="str">
        <f>IF(IDMaster[[#This Row],[Consumption]]="Consumption",IDMaster[[#This Row],[Consumption]],IDMaster[[#This Row],[Basis]])</f>
        <v>Revenue</v>
      </c>
      <c r="R306" s="7" t="str">
        <f>IDMaster[[#This Row],[Supported Group]]&amp;"."&amp;IDMaster[[#This Row],[Basis]]</f>
        <v>IT Tools.Revenue</v>
      </c>
      <c r="S306" s="11">
        <v>0.42185161428265983</v>
      </c>
      <c r="T306" s="12">
        <v>0.57814838571734017</v>
      </c>
      <c r="U306" s="12">
        <v>0</v>
      </c>
      <c r="V306" s="12">
        <v>0</v>
      </c>
      <c r="W306" s="12">
        <v>0</v>
      </c>
    </row>
    <row r="307" spans="1:23" x14ac:dyDescent="0.35">
      <c r="A307" s="7" t="s">
        <v>23</v>
      </c>
      <c r="B307" s="7" t="s">
        <v>915</v>
      </c>
      <c r="C307" s="15" t="s">
        <v>116</v>
      </c>
      <c r="D307" s="8">
        <v>250849</v>
      </c>
      <c r="E307" s="7" t="s">
        <v>46</v>
      </c>
      <c r="F307" s="7" t="s">
        <v>916</v>
      </c>
      <c r="G307" s="7" t="s">
        <v>48</v>
      </c>
      <c r="H307" s="7" t="s">
        <v>489</v>
      </c>
      <c r="I307" s="7" t="s">
        <v>28</v>
      </c>
      <c r="J307" s="7" t="s">
        <v>40</v>
      </c>
      <c r="K307" s="7" t="s">
        <v>80</v>
      </c>
      <c r="L307" s="7" t="s">
        <v>42</v>
      </c>
      <c r="M307" s="7" t="s">
        <v>43</v>
      </c>
      <c r="N307" s="9" t="s">
        <v>32</v>
      </c>
      <c r="O307" s="9" t="s">
        <v>44</v>
      </c>
      <c r="P307" s="9" t="s">
        <v>34</v>
      </c>
      <c r="Q307" s="10" t="str">
        <f>IF(IDMaster[[#This Row],[Consumption]]="Consumption",IDMaster[[#This Row],[Consumption]],IDMaster[[#This Row],[Basis]])</f>
        <v>Revenue</v>
      </c>
      <c r="R307" s="7" t="str">
        <f>IDMaster[[#This Row],[Supported Group]]&amp;"."&amp;IDMaster[[#This Row],[Basis]]</f>
        <v>Corporate.Revenue</v>
      </c>
      <c r="S307" s="11">
        <v>0.42185161428265983</v>
      </c>
      <c r="T307" s="12">
        <v>0.57814838571734017</v>
      </c>
      <c r="U307" s="12">
        <v>0</v>
      </c>
      <c r="V307" s="12">
        <v>0</v>
      </c>
      <c r="W307" s="12">
        <v>0</v>
      </c>
    </row>
    <row r="308" spans="1:23" x14ac:dyDescent="0.35">
      <c r="A308" s="7" t="s">
        <v>23</v>
      </c>
      <c r="B308" s="7" t="s">
        <v>917</v>
      </c>
      <c r="C308" s="7" t="s">
        <v>715</v>
      </c>
      <c r="D308" s="8">
        <v>369683</v>
      </c>
      <c r="E308" s="7" t="s">
        <v>265</v>
      </c>
      <c r="F308" s="7" t="s">
        <v>716</v>
      </c>
      <c r="G308" s="7" t="s">
        <v>48</v>
      </c>
      <c r="H308" s="7" t="s">
        <v>39</v>
      </c>
      <c r="I308" s="7" t="s">
        <v>123</v>
      </c>
      <c r="J308" s="7" t="s">
        <v>625</v>
      </c>
      <c r="K308" s="7" t="s">
        <v>690</v>
      </c>
      <c r="L308" s="7" t="s">
        <v>691</v>
      </c>
      <c r="M308" s="7" t="s">
        <v>918</v>
      </c>
      <c r="N308" s="9" t="s">
        <v>126</v>
      </c>
      <c r="O308" s="9" t="s">
        <v>51</v>
      </c>
      <c r="P308" s="9" t="s">
        <v>34</v>
      </c>
      <c r="Q308" s="10" t="str">
        <f>IF(IDMaster[[#This Row],[Consumption]]="Consumption",IDMaster[[#This Row],[Consumption]],IDMaster[[#This Row],[Basis]])</f>
        <v>RAC Direct</v>
      </c>
      <c r="R308" s="7" t="str">
        <f>IDMaster[[#This Row],[Supported Group]]&amp;"."&amp;IDMaster[[#This Row],[Basis]]</f>
        <v>IT Infrastructure.RAC Direct</v>
      </c>
      <c r="S308" s="11">
        <v>1</v>
      </c>
      <c r="T308" s="12">
        <v>0</v>
      </c>
      <c r="U308" s="12">
        <v>0</v>
      </c>
      <c r="V308" s="12">
        <v>0</v>
      </c>
      <c r="W308" s="12">
        <v>0</v>
      </c>
    </row>
    <row r="309" spans="1:23" x14ac:dyDescent="0.35">
      <c r="A309" s="7" t="s">
        <v>23</v>
      </c>
      <c r="B309" s="7" t="s">
        <v>919</v>
      </c>
      <c r="C309" s="7" t="s">
        <v>920</v>
      </c>
      <c r="D309" s="8">
        <v>377944</v>
      </c>
      <c r="E309" s="7" t="s">
        <v>150</v>
      </c>
      <c r="F309" s="7" t="s">
        <v>921</v>
      </c>
      <c r="G309" s="7" t="s">
        <v>152</v>
      </c>
      <c r="H309" s="7" t="s">
        <v>489</v>
      </c>
      <c r="I309" s="7" t="s">
        <v>28</v>
      </c>
      <c r="J309" s="7" t="s">
        <v>40</v>
      </c>
      <c r="K309" s="7" t="s">
        <v>41</v>
      </c>
      <c r="L309" s="7" t="s">
        <v>42</v>
      </c>
      <c r="M309" s="7" t="s">
        <v>922</v>
      </c>
      <c r="N309" s="9" t="s">
        <v>32</v>
      </c>
      <c r="O309" s="9" t="s">
        <v>33</v>
      </c>
      <c r="P309" s="9" t="s">
        <v>34</v>
      </c>
      <c r="Q309" s="10" t="str">
        <f>IF(IDMaster[[#This Row],[Consumption]]="Consumption",IDMaster[[#This Row],[Consumption]],IDMaster[[#This Row],[Basis]])</f>
        <v>Revenue</v>
      </c>
      <c r="R309" s="7" t="str">
        <f>IDMaster[[#This Row],[Supported Group]]&amp;"."&amp;IDMaster[[#This Row],[Basis]]</f>
        <v>IT Tools.Revenue</v>
      </c>
      <c r="S309" s="11">
        <v>0.42185161428265983</v>
      </c>
      <c r="T309" s="12">
        <v>0.57814838571734017</v>
      </c>
      <c r="U309" s="12">
        <v>0</v>
      </c>
      <c r="V309" s="12">
        <v>0</v>
      </c>
      <c r="W309" s="12">
        <v>0</v>
      </c>
    </row>
    <row r="310" spans="1:23" x14ac:dyDescent="0.35">
      <c r="A310" s="7" t="s">
        <v>23</v>
      </c>
      <c r="B310" s="7" t="s">
        <v>923</v>
      </c>
      <c r="C310" s="7" t="s">
        <v>226</v>
      </c>
      <c r="D310" s="8">
        <v>259622</v>
      </c>
      <c r="E310" s="7" t="s">
        <v>227</v>
      </c>
      <c r="F310" s="7" t="s">
        <v>301</v>
      </c>
      <c r="G310" s="7" t="s">
        <v>48</v>
      </c>
      <c r="H310" s="7" t="s">
        <v>489</v>
      </c>
      <c r="I310" s="7" t="s">
        <v>28</v>
      </c>
      <c r="J310" s="7" t="s">
        <v>40</v>
      </c>
      <c r="K310" s="7" t="s">
        <v>80</v>
      </c>
      <c r="L310" s="7" t="s">
        <v>42</v>
      </c>
      <c r="M310" s="7" t="s">
        <v>43</v>
      </c>
      <c r="N310" s="9" t="s">
        <v>92</v>
      </c>
      <c r="O310" s="9" t="s">
        <v>44</v>
      </c>
      <c r="P310" s="9" t="s">
        <v>34</v>
      </c>
      <c r="Q310" s="10" t="str">
        <f>IF(IDMaster[[#This Row],[Consumption]]="Consumption",IDMaster[[#This Row],[Consumption]],IDMaster[[#This Row],[Basis]])</f>
        <v>Total Headcount</v>
      </c>
      <c r="R310" s="7" t="str">
        <f>IDMaster[[#This Row],[Supported Group]]&amp;"."&amp;IDMaster[[#This Row],[Basis]]</f>
        <v>Corporate.Total Headcount</v>
      </c>
      <c r="S310" s="11">
        <v>0.69106036166058238</v>
      </c>
      <c r="T310" s="12">
        <v>0.14347567705238135</v>
      </c>
      <c r="U310" s="12">
        <v>0</v>
      </c>
      <c r="V310" s="12">
        <v>0</v>
      </c>
      <c r="W310" s="12">
        <v>0.16546396128703625</v>
      </c>
    </row>
    <row r="311" spans="1:23" x14ac:dyDescent="0.35">
      <c r="A311" s="7" t="s">
        <v>23</v>
      </c>
      <c r="B311" s="7" t="s">
        <v>924</v>
      </c>
      <c r="C311" s="7" t="s">
        <v>925</v>
      </c>
      <c r="D311" s="8">
        <v>362263</v>
      </c>
      <c r="E311" s="7" t="s">
        <v>156</v>
      </c>
      <c r="F311" s="7" t="s">
        <v>926</v>
      </c>
      <c r="G311" s="7" t="s">
        <v>103</v>
      </c>
      <c r="H311" s="7" t="s">
        <v>27</v>
      </c>
      <c r="I311" s="7" t="s">
        <v>28</v>
      </c>
      <c r="J311" s="7" t="s">
        <v>137</v>
      </c>
      <c r="K311" s="7" t="s">
        <v>63</v>
      </c>
      <c r="L311" s="7" t="s">
        <v>30</v>
      </c>
      <c r="M311" s="7" t="s">
        <v>927</v>
      </c>
      <c r="N311" s="9" t="s">
        <v>32</v>
      </c>
      <c r="O311" s="9" t="s">
        <v>195</v>
      </c>
      <c r="P311" s="9" t="s">
        <v>34</v>
      </c>
      <c r="Q311" s="10" t="str">
        <f>IF(IDMaster[[#This Row],[Consumption]]="Consumption",IDMaster[[#This Row],[Consumption]],IDMaster[[#This Row],[Basis]])</f>
        <v>Revenue</v>
      </c>
      <c r="R311" s="7" t="str">
        <f>IDMaster[[#This Row],[Supported Group]]&amp;"."&amp;IDMaster[[#This Row],[Basis]]</f>
        <v>External Labor.Revenue</v>
      </c>
      <c r="S311" s="11">
        <v>0.42185161428265983</v>
      </c>
      <c r="T311" s="12">
        <v>0.57814838571734017</v>
      </c>
      <c r="U311" s="12">
        <v>0</v>
      </c>
      <c r="V311" s="12">
        <v>0</v>
      </c>
      <c r="W311" s="12">
        <v>0</v>
      </c>
    </row>
    <row r="312" spans="1:23" x14ac:dyDescent="0.35">
      <c r="A312" s="7" t="s">
        <v>23</v>
      </c>
      <c r="B312" s="7" t="s">
        <v>928</v>
      </c>
      <c r="C312" s="7" t="s">
        <v>929</v>
      </c>
      <c r="D312" s="8">
        <v>359627</v>
      </c>
      <c r="E312" s="7" t="s">
        <v>479</v>
      </c>
      <c r="F312" s="7" t="s">
        <v>930</v>
      </c>
      <c r="G312" s="7" t="s">
        <v>48</v>
      </c>
      <c r="H312" s="7" t="s">
        <v>489</v>
      </c>
      <c r="I312" s="7" t="s">
        <v>28</v>
      </c>
      <c r="J312" s="7" t="s">
        <v>625</v>
      </c>
      <c r="K312" s="7" t="s">
        <v>41</v>
      </c>
      <c r="L312" s="7" t="s">
        <v>42</v>
      </c>
      <c r="M312" s="7" t="s">
        <v>930</v>
      </c>
      <c r="N312" s="9" t="s">
        <v>92</v>
      </c>
      <c r="O312" s="9" t="s">
        <v>447</v>
      </c>
      <c r="P312" s="9" t="s">
        <v>34</v>
      </c>
      <c r="Q312" s="10" t="str">
        <f>IF(IDMaster[[#This Row],[Consumption]]="Consumption",IDMaster[[#This Row],[Consumption]],IDMaster[[#This Row],[Basis]])</f>
        <v>Total Headcount</v>
      </c>
      <c r="R312" s="7" t="str">
        <f>IDMaster[[#This Row],[Supported Group]]&amp;"."&amp;IDMaster[[#This Row],[Basis]]</f>
        <v>Acima.Total Headcount</v>
      </c>
      <c r="S312" s="11">
        <v>0.69106036166058238</v>
      </c>
      <c r="T312" s="12">
        <v>0.14347567705238135</v>
      </c>
      <c r="U312" s="12">
        <v>0</v>
      </c>
      <c r="V312" s="12">
        <v>0</v>
      </c>
      <c r="W312" s="12">
        <v>0.16546396128703625</v>
      </c>
    </row>
    <row r="313" spans="1:23" x14ac:dyDescent="0.35">
      <c r="A313" s="7" t="s">
        <v>23</v>
      </c>
      <c r="B313" s="7" t="s">
        <v>931</v>
      </c>
      <c r="C313" s="7" t="s">
        <v>335</v>
      </c>
      <c r="D313" s="8">
        <v>233525</v>
      </c>
      <c r="E313" s="7" t="s">
        <v>46</v>
      </c>
      <c r="F313" s="7" t="s">
        <v>932</v>
      </c>
      <c r="G313" s="7" t="s">
        <v>48</v>
      </c>
      <c r="H313" s="7" t="s">
        <v>39</v>
      </c>
      <c r="I313" s="17" t="s">
        <v>123</v>
      </c>
      <c r="J313" s="7" t="s">
        <v>40</v>
      </c>
      <c r="K313" s="7" t="s">
        <v>80</v>
      </c>
      <c r="L313" s="7" t="s">
        <v>42</v>
      </c>
      <c r="M313" s="7" t="s">
        <v>933</v>
      </c>
      <c r="N313" s="9" t="s">
        <v>32</v>
      </c>
      <c r="O313" s="9" t="s">
        <v>81</v>
      </c>
      <c r="P313" s="9" t="s">
        <v>34</v>
      </c>
      <c r="Q313" s="10" t="str">
        <f>IF(IDMaster[[#This Row],[Consumption]]="Consumption",IDMaster[[#This Row],[Consumption]],IDMaster[[#This Row],[Basis]])</f>
        <v>Revenue</v>
      </c>
      <c r="R313" s="7" t="str">
        <f>IDMaster[[#This Row],[Supported Group]]&amp;"."&amp;IDMaster[[#This Row],[Basis]]</f>
        <v>Data.Revenue</v>
      </c>
      <c r="S313" s="11">
        <v>0.42185161428265983</v>
      </c>
      <c r="T313" s="12">
        <v>0.57814838571734017</v>
      </c>
      <c r="U313" s="12">
        <v>0</v>
      </c>
      <c r="V313" s="12">
        <v>0</v>
      </c>
      <c r="W313" s="12">
        <v>0</v>
      </c>
    </row>
    <row r="314" spans="1:23" x14ac:dyDescent="0.35">
      <c r="A314" s="7" t="s">
        <v>23</v>
      </c>
      <c r="B314" s="7" t="s">
        <v>934</v>
      </c>
      <c r="C314" s="7" t="s">
        <v>134</v>
      </c>
      <c r="D314" s="8"/>
      <c r="E314" s="7" t="s">
        <v>46</v>
      </c>
      <c r="F314" s="7" t="s">
        <v>691</v>
      </c>
      <c r="G314" s="7" t="s">
        <v>48</v>
      </c>
      <c r="H314" s="7" t="s">
        <v>39</v>
      </c>
      <c r="I314" s="7" t="s">
        <v>123</v>
      </c>
      <c r="J314" s="7" t="s">
        <v>267</v>
      </c>
      <c r="K314" s="7" t="s">
        <v>702</v>
      </c>
      <c r="L314" s="7" t="s">
        <v>691</v>
      </c>
      <c r="M314" s="7" t="s">
        <v>43</v>
      </c>
      <c r="N314" s="9" t="s">
        <v>692</v>
      </c>
      <c r="O314" s="9" t="s">
        <v>538</v>
      </c>
      <c r="P314" s="9" t="s">
        <v>34</v>
      </c>
      <c r="Q314" s="10" t="str">
        <f>IF(IDMaster[[#This Row],[Consumption]]="Consumption",IDMaster[[#This Row],[Consumption]],IDMaster[[#This Row],[Basis]])</f>
        <v>Store Count</v>
      </c>
      <c r="R314" s="7" t="str">
        <f>IDMaster[[#This Row],[Supported Group]]&amp;"."&amp;IDMaster[[#This Row],[Basis]]</f>
        <v>RAC.Store Count</v>
      </c>
      <c r="S314" s="11">
        <v>0.7087214225232854</v>
      </c>
      <c r="T314" s="12">
        <v>0.29127857747671465</v>
      </c>
      <c r="U314" s="12">
        <v>0</v>
      </c>
      <c r="V314" s="12">
        <v>0</v>
      </c>
      <c r="W314" s="12">
        <v>0</v>
      </c>
    </row>
    <row r="315" spans="1:23" x14ac:dyDescent="0.35">
      <c r="A315" s="7" t="s">
        <v>23</v>
      </c>
      <c r="B315" s="7" t="s">
        <v>935</v>
      </c>
      <c r="C315" s="7" t="s">
        <v>936</v>
      </c>
      <c r="D315" s="8">
        <v>446046</v>
      </c>
      <c r="E315" s="7" t="s">
        <v>451</v>
      </c>
      <c r="F315" s="7" t="s">
        <v>936</v>
      </c>
      <c r="G315" s="7" t="s">
        <v>72</v>
      </c>
      <c r="H315" s="7" t="s">
        <v>49</v>
      </c>
      <c r="I315" s="7" t="s">
        <v>28</v>
      </c>
      <c r="J315" s="7" t="s">
        <v>40</v>
      </c>
      <c r="K315" s="7" t="s">
        <v>937</v>
      </c>
      <c r="L315" s="7" t="s">
        <v>42</v>
      </c>
      <c r="M315" s="7" t="s">
        <v>43</v>
      </c>
      <c r="N315" s="9" t="s">
        <v>32</v>
      </c>
      <c r="O315" s="9" t="s">
        <v>51</v>
      </c>
      <c r="P315" s="9" t="s">
        <v>34</v>
      </c>
      <c r="Q315" s="10" t="str">
        <f>IF(IDMaster[[#This Row],[Consumption]]="Consumption",IDMaster[[#This Row],[Consumption]],IDMaster[[#This Row],[Basis]])</f>
        <v>Revenue</v>
      </c>
      <c r="R315" s="7" t="str">
        <f>IDMaster[[#This Row],[Supported Group]]&amp;"."&amp;IDMaster[[#This Row],[Basis]]</f>
        <v>IT Infrastructure.Revenue</v>
      </c>
      <c r="S315" s="11">
        <v>0.42185161428265983</v>
      </c>
      <c r="T315" s="12">
        <v>0.57814838571734017</v>
      </c>
      <c r="U315" s="12">
        <v>0</v>
      </c>
      <c r="V315" s="12">
        <v>0</v>
      </c>
      <c r="W315" s="12">
        <v>0</v>
      </c>
    </row>
    <row r="316" spans="1:23" x14ac:dyDescent="0.35">
      <c r="A316" s="7" t="s">
        <v>23</v>
      </c>
      <c r="B316" s="7" t="s">
        <v>938</v>
      </c>
      <c r="C316" s="7" t="s">
        <v>536</v>
      </c>
      <c r="D316" s="8">
        <v>300434</v>
      </c>
      <c r="E316" s="19" t="s">
        <v>46</v>
      </c>
      <c r="F316" s="7" t="s">
        <v>939</v>
      </c>
      <c r="G316" s="7" t="s">
        <v>48</v>
      </c>
      <c r="H316" s="7" t="s">
        <v>39</v>
      </c>
      <c r="I316" s="7" t="s">
        <v>123</v>
      </c>
      <c r="J316" s="7" t="s">
        <v>62</v>
      </c>
      <c r="K316" s="7" t="s">
        <v>561</v>
      </c>
      <c r="L316" s="7" t="s">
        <v>30</v>
      </c>
      <c r="M316" s="7" t="s">
        <v>940</v>
      </c>
      <c r="N316" s="9" t="s">
        <v>941</v>
      </c>
      <c r="O316" s="9" t="s">
        <v>942</v>
      </c>
      <c r="P316" s="9" t="s">
        <v>34</v>
      </c>
      <c r="Q316" s="10" t="str">
        <f>IF(IDMaster[[#This Row],[Consumption]]="Consumption",IDMaster[[#This Row],[Consumption]],IDMaster[[#This Row],[Basis]])</f>
        <v>Mexico Direct</v>
      </c>
      <c r="R316" s="7" t="str">
        <f>IDMaster[[#This Row],[Supported Group]]&amp;"."&amp;IDMaster[[#This Row],[Basis]]</f>
        <v>Mexico.Mexico Direct</v>
      </c>
      <c r="S316" s="11">
        <v>0</v>
      </c>
      <c r="T316" s="12">
        <v>0</v>
      </c>
      <c r="U316" s="12">
        <v>1</v>
      </c>
      <c r="V316" s="12">
        <v>0</v>
      </c>
      <c r="W316" s="12">
        <v>0</v>
      </c>
    </row>
    <row r="317" spans="1:23" x14ac:dyDescent="0.35">
      <c r="A317" s="7" t="s">
        <v>23</v>
      </c>
      <c r="B317" s="7" t="s">
        <v>943</v>
      </c>
      <c r="C317" s="7" t="s">
        <v>536</v>
      </c>
      <c r="D317" s="8">
        <v>300434</v>
      </c>
      <c r="E317" s="7" t="s">
        <v>944</v>
      </c>
      <c r="F317" s="7" t="s">
        <v>945</v>
      </c>
      <c r="G317" s="7" t="s">
        <v>72</v>
      </c>
      <c r="H317" s="7" t="s">
        <v>39</v>
      </c>
      <c r="I317" s="7" t="s">
        <v>123</v>
      </c>
      <c r="J317" s="7" t="s">
        <v>62</v>
      </c>
      <c r="K317" s="7" t="s">
        <v>561</v>
      </c>
      <c r="L317" s="7" t="s">
        <v>30</v>
      </c>
      <c r="M317" s="7" t="s">
        <v>946</v>
      </c>
      <c r="N317" s="9" t="s">
        <v>941</v>
      </c>
      <c r="O317" s="9" t="s">
        <v>942</v>
      </c>
      <c r="P317" s="9" t="s">
        <v>34</v>
      </c>
      <c r="Q317" s="10" t="str">
        <f>IF(IDMaster[[#This Row],[Consumption]]="Consumption",IDMaster[[#This Row],[Consumption]],IDMaster[[#This Row],[Basis]])</f>
        <v>Mexico Direct</v>
      </c>
      <c r="R317" s="7" t="str">
        <f>IDMaster[[#This Row],[Supported Group]]&amp;"."&amp;IDMaster[[#This Row],[Basis]]</f>
        <v>Mexico.Mexico Direct</v>
      </c>
      <c r="S317" s="11">
        <v>0</v>
      </c>
      <c r="T317" s="12">
        <v>0</v>
      </c>
      <c r="U317" s="12">
        <v>1</v>
      </c>
      <c r="V317" s="12">
        <v>0</v>
      </c>
      <c r="W317" s="12">
        <v>0</v>
      </c>
    </row>
    <row r="318" spans="1:23" x14ac:dyDescent="0.35">
      <c r="A318" s="7" t="s">
        <v>23</v>
      </c>
      <c r="B318" s="7" t="s">
        <v>947</v>
      </c>
      <c r="C318" s="7" t="s">
        <v>948</v>
      </c>
      <c r="D318" s="8">
        <v>311067</v>
      </c>
      <c r="E318" s="7" t="s">
        <v>584</v>
      </c>
      <c r="F318" s="7" t="s">
        <v>949</v>
      </c>
      <c r="G318" s="7" t="s">
        <v>72</v>
      </c>
      <c r="H318" s="7" t="s">
        <v>489</v>
      </c>
      <c r="I318" s="7" t="s">
        <v>28</v>
      </c>
      <c r="J318" s="7" t="s">
        <v>40</v>
      </c>
      <c r="K318" s="7" t="s">
        <v>63</v>
      </c>
      <c r="L318" s="7" t="s">
        <v>30</v>
      </c>
      <c r="M318" s="7" t="s">
        <v>43</v>
      </c>
      <c r="N318" s="9" t="s">
        <v>32</v>
      </c>
      <c r="O318" s="9" t="s">
        <v>141</v>
      </c>
      <c r="P318" s="9" t="s">
        <v>34</v>
      </c>
      <c r="Q318" s="10" t="str">
        <f>IF(IDMaster[[#This Row],[Consumption]]="Consumption",IDMaster[[#This Row],[Consumption]],IDMaster[[#This Row],[Basis]])</f>
        <v>Revenue</v>
      </c>
      <c r="R318" s="7" t="str">
        <f>IDMaster[[#This Row],[Supported Group]]&amp;"."&amp;IDMaster[[#This Row],[Basis]]</f>
        <v>Other.Revenue</v>
      </c>
      <c r="S318" s="11">
        <v>0.42185161428265983</v>
      </c>
      <c r="T318" s="12">
        <v>0.57814838571734017</v>
      </c>
      <c r="U318" s="12">
        <v>0</v>
      </c>
      <c r="V318" s="12">
        <v>0</v>
      </c>
      <c r="W318" s="12">
        <v>0</v>
      </c>
    </row>
    <row r="319" spans="1:23" x14ac:dyDescent="0.35">
      <c r="A319" s="7" t="s">
        <v>23</v>
      </c>
      <c r="B319" s="7" t="s">
        <v>950</v>
      </c>
      <c r="C319" s="7" t="s">
        <v>951</v>
      </c>
      <c r="D319" s="8" t="s">
        <v>640</v>
      </c>
      <c r="E319" s="7" t="s">
        <v>46</v>
      </c>
      <c r="F319" s="7" t="s">
        <v>1815</v>
      </c>
      <c r="G319" s="7" t="s">
        <v>48</v>
      </c>
      <c r="H319" s="7" t="s">
        <v>27</v>
      </c>
      <c r="I319" s="7" t="s">
        <v>28</v>
      </c>
      <c r="J319" s="7" t="s">
        <v>40</v>
      </c>
      <c r="K319" s="7" t="s">
        <v>41</v>
      </c>
      <c r="L319" s="7" t="s">
        <v>42</v>
      </c>
      <c r="M319" s="7" t="s">
        <v>953</v>
      </c>
      <c r="N319" s="9" t="s">
        <v>32</v>
      </c>
      <c r="O319" s="9" t="s">
        <v>33</v>
      </c>
      <c r="P319" s="9" t="s">
        <v>34</v>
      </c>
      <c r="Q319" s="10" t="str">
        <f>IF(IDMaster[[#This Row],[Consumption]]="Consumption",IDMaster[[#This Row],[Consumption]],IDMaster[[#This Row],[Basis]])</f>
        <v>Revenue</v>
      </c>
      <c r="R319" s="7" t="str">
        <f>IDMaster[[#This Row],[Supported Group]]&amp;"."&amp;IDMaster[[#This Row],[Basis]]</f>
        <v>IT Tools.Revenue</v>
      </c>
      <c r="S319" s="11">
        <v>0.42185161428265983</v>
      </c>
      <c r="T319" s="12">
        <v>0.57814838571734017</v>
      </c>
      <c r="U319" s="12">
        <v>0</v>
      </c>
      <c r="V319" s="12">
        <v>0</v>
      </c>
      <c r="W319" s="12">
        <v>0</v>
      </c>
    </row>
    <row r="320" spans="1:23" x14ac:dyDescent="0.35">
      <c r="A320" s="7" t="s">
        <v>23</v>
      </c>
      <c r="B320" s="7" t="s">
        <v>954</v>
      </c>
      <c r="C320" s="7" t="s">
        <v>241</v>
      </c>
      <c r="D320" s="8">
        <v>385624</v>
      </c>
      <c r="E320" s="7" t="s">
        <v>233</v>
      </c>
      <c r="F320" s="7" t="s">
        <v>955</v>
      </c>
      <c r="G320" s="7" t="s">
        <v>97</v>
      </c>
      <c r="H320" s="7" t="s">
        <v>489</v>
      </c>
      <c r="I320" s="7" t="s">
        <v>28</v>
      </c>
      <c r="J320" s="7" t="s">
        <v>137</v>
      </c>
      <c r="K320" s="7" t="s">
        <v>63</v>
      </c>
      <c r="L320" s="7" t="s">
        <v>30</v>
      </c>
      <c r="M320" s="7" t="s">
        <v>955</v>
      </c>
      <c r="N320" s="9" t="s">
        <v>32</v>
      </c>
      <c r="O320" s="9" t="s">
        <v>99</v>
      </c>
      <c r="P320" s="9" t="s">
        <v>34</v>
      </c>
      <c r="Q320" s="10" t="str">
        <f>IF(IDMaster[[#This Row],[Consumption]]="Consumption",IDMaster[[#This Row],[Consumption]],IDMaster[[#This Row],[Basis]])</f>
        <v>Revenue</v>
      </c>
      <c r="R320" s="7" t="str">
        <f>IDMaster[[#This Row],[Supported Group]]&amp;"."&amp;IDMaster[[#This Row],[Basis]]</f>
        <v>Security.Revenue</v>
      </c>
      <c r="S320" s="11">
        <v>0.42185161428265983</v>
      </c>
      <c r="T320" s="12">
        <v>0.57814838571734017</v>
      </c>
      <c r="U320" s="12">
        <v>0</v>
      </c>
      <c r="V320" s="12">
        <v>0</v>
      </c>
      <c r="W320" s="12">
        <v>0</v>
      </c>
    </row>
    <row r="321" spans="1:23" x14ac:dyDescent="0.35">
      <c r="A321" s="7" t="s">
        <v>23</v>
      </c>
      <c r="B321" s="7" t="s">
        <v>956</v>
      </c>
      <c r="C321" s="15" t="s">
        <v>957</v>
      </c>
      <c r="D321" s="8">
        <v>285743</v>
      </c>
      <c r="E321" s="7" t="s">
        <v>46</v>
      </c>
      <c r="F321" s="7" t="s">
        <v>958</v>
      </c>
      <c r="G321" s="7" t="s">
        <v>48</v>
      </c>
      <c r="H321" s="7" t="s">
        <v>39</v>
      </c>
      <c r="I321" s="7" t="s">
        <v>28</v>
      </c>
      <c r="J321" s="7" t="s">
        <v>40</v>
      </c>
      <c r="K321" s="7" t="s">
        <v>80</v>
      </c>
      <c r="L321" s="7" t="s">
        <v>42</v>
      </c>
      <c r="M321" s="7" t="s">
        <v>43</v>
      </c>
      <c r="N321" s="9" t="s">
        <v>32</v>
      </c>
      <c r="O321" s="9" t="s">
        <v>51</v>
      </c>
      <c r="P321" s="9" t="s">
        <v>34</v>
      </c>
      <c r="Q321" s="10" t="str">
        <f>IF(IDMaster[[#This Row],[Consumption]]="Consumption",IDMaster[[#This Row],[Consumption]],IDMaster[[#This Row],[Basis]])</f>
        <v>Revenue</v>
      </c>
      <c r="R321" s="7" t="str">
        <f>IDMaster[[#This Row],[Supported Group]]&amp;"."&amp;IDMaster[[#This Row],[Basis]]</f>
        <v>IT Infrastructure.Revenue</v>
      </c>
      <c r="S321" s="11">
        <v>0.42185161428265983</v>
      </c>
      <c r="T321" s="12">
        <v>0.57814838571734017</v>
      </c>
      <c r="U321" s="12">
        <v>0</v>
      </c>
      <c r="V321" s="12">
        <v>0</v>
      </c>
      <c r="W321" s="12">
        <v>0</v>
      </c>
    </row>
    <row r="322" spans="1:23" x14ac:dyDescent="0.35">
      <c r="A322" s="7" t="s">
        <v>23</v>
      </c>
      <c r="B322" s="7" t="s">
        <v>959</v>
      </c>
      <c r="C322" s="7" t="s">
        <v>116</v>
      </c>
      <c r="D322" s="8">
        <v>250849</v>
      </c>
      <c r="E322" s="7" t="s">
        <v>270</v>
      </c>
      <c r="F322" s="7" t="s">
        <v>960</v>
      </c>
      <c r="G322" s="7" t="s">
        <v>72</v>
      </c>
      <c r="H322" s="7" t="s">
        <v>39</v>
      </c>
      <c r="I322" s="7" t="s">
        <v>28</v>
      </c>
      <c r="J322" s="7" t="s">
        <v>40</v>
      </c>
      <c r="K322" s="7" t="s">
        <v>80</v>
      </c>
      <c r="L322" s="7" t="s">
        <v>42</v>
      </c>
      <c r="M322" s="7" t="s">
        <v>43</v>
      </c>
      <c r="N322" s="9" t="s">
        <v>32</v>
      </c>
      <c r="O322" s="9" t="s">
        <v>141</v>
      </c>
      <c r="P322" s="9" t="s">
        <v>34</v>
      </c>
      <c r="Q322" s="10" t="str">
        <f>IF(IDMaster[[#This Row],[Consumption]]="Consumption",IDMaster[[#This Row],[Consumption]],IDMaster[[#This Row],[Basis]])</f>
        <v>Revenue</v>
      </c>
      <c r="R322" s="7" t="str">
        <f>IDMaster[[#This Row],[Supported Group]]&amp;"."&amp;IDMaster[[#This Row],[Basis]]</f>
        <v>Other.Revenue</v>
      </c>
      <c r="S322" s="11">
        <v>0.42185161428265983</v>
      </c>
      <c r="T322" s="12">
        <v>0.57814838571734017</v>
      </c>
      <c r="U322" s="12">
        <v>0</v>
      </c>
      <c r="V322" s="12">
        <v>0</v>
      </c>
      <c r="W322" s="12">
        <v>0</v>
      </c>
    </row>
    <row r="323" spans="1:23" x14ac:dyDescent="0.35">
      <c r="A323" s="7" t="s">
        <v>23</v>
      </c>
      <c r="B323" s="7" t="s">
        <v>961</v>
      </c>
      <c r="C323" s="15" t="s">
        <v>962</v>
      </c>
      <c r="D323" s="8">
        <v>300324</v>
      </c>
      <c r="E323" s="7" t="s">
        <v>963</v>
      </c>
      <c r="F323" s="7" t="s">
        <v>964</v>
      </c>
      <c r="G323" s="7" t="s">
        <v>72</v>
      </c>
      <c r="H323" s="7" t="s">
        <v>39</v>
      </c>
      <c r="I323" s="7" t="s">
        <v>28</v>
      </c>
      <c r="J323" s="7" t="s">
        <v>40</v>
      </c>
      <c r="K323" s="7" t="s">
        <v>80</v>
      </c>
      <c r="L323" s="7" t="s">
        <v>42</v>
      </c>
      <c r="M323" s="7" t="s">
        <v>965</v>
      </c>
      <c r="N323" s="9" t="s">
        <v>32</v>
      </c>
      <c r="O323" s="9" t="s">
        <v>538</v>
      </c>
      <c r="P323" s="9" t="s">
        <v>34</v>
      </c>
      <c r="Q323" s="10" t="str">
        <f>IF(IDMaster[[#This Row],[Consumption]]="Consumption",IDMaster[[#This Row],[Consumption]],IDMaster[[#This Row],[Basis]])</f>
        <v>Revenue</v>
      </c>
      <c r="R323" s="7" t="str">
        <f>IDMaster[[#This Row],[Supported Group]]&amp;"."&amp;IDMaster[[#This Row],[Basis]]</f>
        <v>RAC.Revenue</v>
      </c>
      <c r="S323" s="11">
        <v>0.42185161428265983</v>
      </c>
      <c r="T323" s="12">
        <v>0.57814838571734017</v>
      </c>
      <c r="U323" s="12">
        <v>0</v>
      </c>
      <c r="V323" s="12">
        <v>0</v>
      </c>
      <c r="W323" s="12">
        <v>0</v>
      </c>
    </row>
    <row r="324" spans="1:23" x14ac:dyDescent="0.35">
      <c r="A324" s="7" t="s">
        <v>23</v>
      </c>
      <c r="B324" s="7" t="s">
        <v>966</v>
      </c>
      <c r="C324" s="7" t="s">
        <v>967</v>
      </c>
      <c r="D324" s="8">
        <v>257225</v>
      </c>
      <c r="E324" s="7" t="s">
        <v>117</v>
      </c>
      <c r="F324" s="7" t="s">
        <v>968</v>
      </c>
      <c r="G324" s="7" t="s">
        <v>103</v>
      </c>
      <c r="H324" s="7" t="s">
        <v>27</v>
      </c>
      <c r="I324" s="7" t="s">
        <v>28</v>
      </c>
      <c r="J324" s="7" t="s">
        <v>40</v>
      </c>
      <c r="K324" s="7" t="s">
        <v>80</v>
      </c>
      <c r="L324" s="7" t="s">
        <v>42</v>
      </c>
      <c r="M324" s="7" t="s">
        <v>969</v>
      </c>
      <c r="N324" s="9" t="s">
        <v>32</v>
      </c>
      <c r="O324" s="9" t="s">
        <v>81</v>
      </c>
      <c r="P324" s="9" t="s">
        <v>34</v>
      </c>
      <c r="Q324" s="10" t="str">
        <f>IF(IDMaster[[#This Row],[Consumption]]="Consumption",IDMaster[[#This Row],[Consumption]],IDMaster[[#This Row],[Basis]])</f>
        <v>Revenue</v>
      </c>
      <c r="R324" s="7" t="str">
        <f>IDMaster[[#This Row],[Supported Group]]&amp;"."&amp;IDMaster[[#This Row],[Basis]]</f>
        <v>Data.Revenue</v>
      </c>
      <c r="S324" s="11">
        <v>0.42185161428265983</v>
      </c>
      <c r="T324" s="12">
        <v>0.57814838571734017</v>
      </c>
      <c r="U324" s="12">
        <v>0</v>
      </c>
      <c r="V324" s="12">
        <v>0</v>
      </c>
      <c r="W324" s="12">
        <v>0</v>
      </c>
    </row>
    <row r="325" spans="1:23" x14ac:dyDescent="0.35">
      <c r="A325" s="7" t="s">
        <v>23</v>
      </c>
      <c r="B325" s="7" t="s">
        <v>970</v>
      </c>
      <c r="C325" s="7" t="s">
        <v>326</v>
      </c>
      <c r="D325" s="8">
        <v>178105</v>
      </c>
      <c r="E325" s="7" t="s">
        <v>46</v>
      </c>
      <c r="F325" s="7" t="s">
        <v>971</v>
      </c>
      <c r="G325" s="7" t="s">
        <v>48</v>
      </c>
      <c r="H325" s="7" t="s">
        <v>39</v>
      </c>
      <c r="I325" s="7" t="s">
        <v>28</v>
      </c>
      <c r="J325" s="7" t="s">
        <v>40</v>
      </c>
      <c r="K325" s="7" t="s">
        <v>80</v>
      </c>
      <c r="L325" s="7" t="s">
        <v>42</v>
      </c>
      <c r="M325" s="7" t="s">
        <v>972</v>
      </c>
      <c r="N325" s="9" t="s">
        <v>32</v>
      </c>
      <c r="O325" s="9" t="s">
        <v>33</v>
      </c>
      <c r="P325" s="9" t="s">
        <v>34</v>
      </c>
      <c r="Q325" s="10" t="str">
        <f>IF(IDMaster[[#This Row],[Consumption]]="Consumption",IDMaster[[#This Row],[Consumption]],IDMaster[[#This Row],[Basis]])</f>
        <v>Revenue</v>
      </c>
      <c r="R325" s="7" t="str">
        <f>IDMaster[[#This Row],[Supported Group]]&amp;"."&amp;IDMaster[[#This Row],[Basis]]</f>
        <v>IT Tools.Revenue</v>
      </c>
      <c r="S325" s="11">
        <v>0.42185161428265983</v>
      </c>
      <c r="T325" s="12">
        <v>0.57814838571734017</v>
      </c>
      <c r="U325" s="12">
        <v>0</v>
      </c>
      <c r="V325" s="12">
        <v>0</v>
      </c>
      <c r="W325" s="12">
        <v>0</v>
      </c>
    </row>
    <row r="326" spans="1:23" x14ac:dyDescent="0.35">
      <c r="A326" s="7" t="s">
        <v>23</v>
      </c>
      <c r="B326" s="7" t="s">
        <v>973</v>
      </c>
      <c r="C326" s="7" t="s">
        <v>902</v>
      </c>
      <c r="D326" s="8"/>
      <c r="E326" s="7" t="s">
        <v>584</v>
      </c>
      <c r="F326" s="7" t="s">
        <v>974</v>
      </c>
      <c r="G326" s="7" t="s">
        <v>55</v>
      </c>
      <c r="H326" s="7" t="s">
        <v>27</v>
      </c>
      <c r="I326" s="7" t="s">
        <v>28</v>
      </c>
      <c r="J326" s="7" t="s">
        <v>137</v>
      </c>
      <c r="K326" s="7" t="s">
        <v>508</v>
      </c>
      <c r="L326" s="7" t="s">
        <v>30</v>
      </c>
      <c r="M326" s="7" t="s">
        <v>43</v>
      </c>
      <c r="N326" s="9" t="s">
        <v>32</v>
      </c>
      <c r="O326" s="9" t="s">
        <v>67</v>
      </c>
      <c r="P326" s="9" t="s">
        <v>34</v>
      </c>
      <c r="Q326" s="10" t="str">
        <f>IF(IDMaster[[#This Row],[Consumption]]="Consumption",IDMaster[[#This Row],[Consumption]],IDMaster[[#This Row],[Basis]])</f>
        <v>Revenue</v>
      </c>
      <c r="R326" s="7" t="str">
        <f>IDMaster[[#This Row],[Supported Group]]&amp;"."&amp;IDMaster[[#This Row],[Basis]]</f>
        <v>IT Corporate.Revenue</v>
      </c>
      <c r="S326" s="11">
        <v>0.42185161428265983</v>
      </c>
      <c r="T326" s="12">
        <v>0.57814838571734017</v>
      </c>
      <c r="U326" s="12">
        <v>0</v>
      </c>
      <c r="V326" s="12">
        <v>0</v>
      </c>
      <c r="W326" s="12">
        <v>0</v>
      </c>
    </row>
    <row r="327" spans="1:23" x14ac:dyDescent="0.35">
      <c r="A327" s="7" t="s">
        <v>23</v>
      </c>
      <c r="B327" s="7" t="s">
        <v>975</v>
      </c>
      <c r="C327" s="7" t="s">
        <v>976</v>
      </c>
      <c r="D327" s="8"/>
      <c r="E327" s="7" t="s">
        <v>53</v>
      </c>
      <c r="F327" s="7" t="s">
        <v>977</v>
      </c>
      <c r="G327" s="7" t="s">
        <v>55</v>
      </c>
      <c r="H327" s="7" t="s">
        <v>27</v>
      </c>
      <c r="I327" s="7" t="s">
        <v>28</v>
      </c>
      <c r="J327" s="7" t="s">
        <v>40</v>
      </c>
      <c r="K327" s="7" t="s">
        <v>978</v>
      </c>
      <c r="L327" s="7" t="s">
        <v>631</v>
      </c>
      <c r="M327" s="7" t="s">
        <v>43</v>
      </c>
      <c r="N327" s="9" t="s">
        <v>32</v>
      </c>
      <c r="O327" s="9" t="s">
        <v>67</v>
      </c>
      <c r="P327" s="9" t="s">
        <v>34</v>
      </c>
      <c r="Q327" s="10" t="str">
        <f>IF(IDMaster[[#This Row],[Consumption]]="Consumption",IDMaster[[#This Row],[Consumption]],IDMaster[[#This Row],[Basis]])</f>
        <v>Revenue</v>
      </c>
      <c r="R327" s="7" t="str">
        <f>IDMaster[[#This Row],[Supported Group]]&amp;"."&amp;IDMaster[[#This Row],[Basis]]</f>
        <v>IT Corporate.Revenue</v>
      </c>
      <c r="S327" s="11">
        <v>0.42185161428265983</v>
      </c>
      <c r="T327" s="12">
        <v>0.57814838571734017</v>
      </c>
      <c r="U327" s="12">
        <v>0</v>
      </c>
      <c r="V327" s="12">
        <v>0</v>
      </c>
      <c r="W327" s="12">
        <v>0</v>
      </c>
    </row>
    <row r="328" spans="1:23" x14ac:dyDescent="0.35">
      <c r="A328" s="7" t="s">
        <v>23</v>
      </c>
      <c r="B328" s="7" t="s">
        <v>979</v>
      </c>
      <c r="C328" s="7" t="s">
        <v>980</v>
      </c>
      <c r="D328" s="8">
        <v>298136</v>
      </c>
      <c r="E328" s="7" t="s">
        <v>117</v>
      </c>
      <c r="F328" s="7" t="s">
        <v>981</v>
      </c>
      <c r="G328" s="7" t="s">
        <v>72</v>
      </c>
      <c r="H328" s="7" t="s">
        <v>39</v>
      </c>
      <c r="I328" s="7" t="s">
        <v>123</v>
      </c>
      <c r="J328" s="7" t="s">
        <v>40</v>
      </c>
      <c r="K328" s="7" t="s">
        <v>695</v>
      </c>
      <c r="L328" s="7" t="s">
        <v>691</v>
      </c>
      <c r="M328" s="7" t="s">
        <v>982</v>
      </c>
      <c r="N328" s="9" t="s">
        <v>32</v>
      </c>
      <c r="O328" s="9" t="s">
        <v>574</v>
      </c>
      <c r="P328" s="14" t="s">
        <v>15</v>
      </c>
      <c r="Q328" s="10" t="str">
        <f>IF(IDMaster[[#This Row],[Consumption]]="Consumption",IDMaster[[#This Row],[Consumption]],IDMaster[[#This Row],[Basis]])</f>
        <v>Consumption</v>
      </c>
      <c r="R328" s="7" t="str">
        <f>IDMaster[[#This Row],[Supported Group]]&amp;"."&amp;IDMaster[[#This Row],[Basis]]</f>
        <v>Marketing.Revenue</v>
      </c>
      <c r="S328" s="11">
        <v>0.74025974025974017</v>
      </c>
      <c r="T328" s="12">
        <v>0.25974025974025972</v>
      </c>
      <c r="U328" s="12">
        <v>0</v>
      </c>
      <c r="V328" s="12">
        <v>0</v>
      </c>
      <c r="W328" s="12">
        <v>0</v>
      </c>
    </row>
    <row r="329" spans="1:23" x14ac:dyDescent="0.35">
      <c r="A329" s="7" t="s">
        <v>23</v>
      </c>
      <c r="B329" s="7" t="s">
        <v>983</v>
      </c>
      <c r="C329" s="7" t="s">
        <v>984</v>
      </c>
      <c r="D329" s="8">
        <v>290587</v>
      </c>
      <c r="E329" s="7" t="s">
        <v>70</v>
      </c>
      <c r="F329" s="7" t="s">
        <v>985</v>
      </c>
      <c r="G329" s="7" t="s">
        <v>72</v>
      </c>
      <c r="H329" s="7" t="s">
        <v>489</v>
      </c>
      <c r="I329" s="7" t="s">
        <v>28</v>
      </c>
      <c r="J329" s="7" t="s">
        <v>40</v>
      </c>
      <c r="K329" s="7" t="s">
        <v>41</v>
      </c>
      <c r="L329" s="7" t="s">
        <v>42</v>
      </c>
      <c r="M329" s="7" t="s">
        <v>986</v>
      </c>
      <c r="N329" s="9" t="s">
        <v>92</v>
      </c>
      <c r="O329" s="9" t="s">
        <v>33</v>
      </c>
      <c r="P329" s="9" t="s">
        <v>34</v>
      </c>
      <c r="Q329" s="10" t="str">
        <f>IF(IDMaster[[#This Row],[Consumption]]="Consumption",IDMaster[[#This Row],[Consumption]],IDMaster[[#This Row],[Basis]])</f>
        <v>Total Headcount</v>
      </c>
      <c r="R329" s="7" t="str">
        <f>IDMaster[[#This Row],[Supported Group]]&amp;"."&amp;IDMaster[[#This Row],[Basis]]</f>
        <v>IT Tools.Total Headcount</v>
      </c>
      <c r="S329" s="11">
        <v>0.69106036166058238</v>
      </c>
      <c r="T329" s="12">
        <v>0.14347567705238135</v>
      </c>
      <c r="U329" s="12">
        <v>0</v>
      </c>
      <c r="V329" s="12">
        <v>0</v>
      </c>
      <c r="W329" s="12">
        <v>0.16546396128703625</v>
      </c>
    </row>
    <row r="330" spans="1:23" x14ac:dyDescent="0.35">
      <c r="A330" s="7" t="s">
        <v>23</v>
      </c>
      <c r="B330" s="7" t="s">
        <v>987</v>
      </c>
      <c r="C330" s="7" t="s">
        <v>988</v>
      </c>
      <c r="D330" s="8"/>
      <c r="E330" s="7" t="s">
        <v>70</v>
      </c>
      <c r="F330" s="7" t="s">
        <v>989</v>
      </c>
      <c r="G330" s="7" t="s">
        <v>72</v>
      </c>
      <c r="H330" s="7" t="s">
        <v>489</v>
      </c>
      <c r="I330" s="7" t="s">
        <v>123</v>
      </c>
      <c r="J330" s="7" t="s">
        <v>40</v>
      </c>
      <c r="K330" s="7" t="s">
        <v>41</v>
      </c>
      <c r="L330" s="7" t="s">
        <v>42</v>
      </c>
      <c r="M330" s="7" t="s">
        <v>990</v>
      </c>
      <c r="N330" s="9" t="s">
        <v>446</v>
      </c>
      <c r="O330" s="9" t="s">
        <v>33</v>
      </c>
      <c r="P330" s="9" t="s">
        <v>34</v>
      </c>
      <c r="Q330" s="10" t="str">
        <f>IF(IDMaster[[#This Row],[Consumption]]="Consumption",IDMaster[[#This Row],[Consumption]],IDMaster[[#This Row],[Basis]])</f>
        <v>Acima Direct</v>
      </c>
      <c r="R330" s="7" t="str">
        <f>IDMaster[[#This Row],[Supported Group]]&amp;"."&amp;IDMaster[[#This Row],[Basis]]</f>
        <v>IT Tools.Acima Direct</v>
      </c>
      <c r="S330" s="11">
        <v>0</v>
      </c>
      <c r="T330" s="12">
        <v>1</v>
      </c>
      <c r="U330" s="12">
        <v>0</v>
      </c>
      <c r="V330" s="12">
        <v>0</v>
      </c>
      <c r="W330" s="12">
        <v>0</v>
      </c>
    </row>
    <row r="331" spans="1:23" x14ac:dyDescent="0.35">
      <c r="A331" s="7" t="s">
        <v>23</v>
      </c>
      <c r="B331" s="7" t="s">
        <v>991</v>
      </c>
      <c r="C331" s="7" t="s">
        <v>409</v>
      </c>
      <c r="D331" s="8"/>
      <c r="E331" s="7" t="s">
        <v>70</v>
      </c>
      <c r="F331" s="7" t="s">
        <v>992</v>
      </c>
      <c r="G331" s="7" t="s">
        <v>72</v>
      </c>
      <c r="H331" s="7" t="s">
        <v>489</v>
      </c>
      <c r="I331" s="7" t="s">
        <v>28</v>
      </c>
      <c r="J331" s="7" t="s">
        <v>40</v>
      </c>
      <c r="K331" s="7" t="s">
        <v>41</v>
      </c>
      <c r="L331" s="7" t="s">
        <v>42</v>
      </c>
      <c r="M331" s="7" t="s">
        <v>43</v>
      </c>
      <c r="N331" s="9" t="s">
        <v>32</v>
      </c>
      <c r="O331" s="9" t="s">
        <v>33</v>
      </c>
      <c r="P331" s="9" t="s">
        <v>34</v>
      </c>
      <c r="Q331" s="10" t="str">
        <f>IF(IDMaster[[#This Row],[Consumption]]="Consumption",IDMaster[[#This Row],[Consumption]],IDMaster[[#This Row],[Basis]])</f>
        <v>Revenue</v>
      </c>
      <c r="R331" s="7" t="str">
        <f>IDMaster[[#This Row],[Supported Group]]&amp;"."&amp;IDMaster[[#This Row],[Basis]]</f>
        <v>IT Tools.Revenue</v>
      </c>
      <c r="S331" s="11">
        <v>0.42185161428265983</v>
      </c>
      <c r="T331" s="12">
        <v>0.57814838571734017</v>
      </c>
      <c r="U331" s="12">
        <v>0</v>
      </c>
      <c r="V331" s="12">
        <v>0</v>
      </c>
      <c r="W331" s="12">
        <v>0</v>
      </c>
    </row>
    <row r="332" spans="1:23" x14ac:dyDescent="0.35">
      <c r="A332" s="7" t="s">
        <v>23</v>
      </c>
      <c r="B332" s="7" t="s">
        <v>993</v>
      </c>
      <c r="C332" s="7" t="s">
        <v>994</v>
      </c>
      <c r="D332" s="8"/>
      <c r="E332" s="7" t="s">
        <v>46</v>
      </c>
      <c r="F332" s="7" t="s">
        <v>995</v>
      </c>
      <c r="G332" s="7" t="s">
        <v>48</v>
      </c>
      <c r="H332" s="7" t="s">
        <v>489</v>
      </c>
      <c r="I332" s="7" t="s">
        <v>28</v>
      </c>
      <c r="J332" s="7" t="s">
        <v>40</v>
      </c>
      <c r="K332" s="7" t="s">
        <v>695</v>
      </c>
      <c r="L332" s="7" t="s">
        <v>691</v>
      </c>
      <c r="M332" s="7" t="s">
        <v>43</v>
      </c>
      <c r="N332" s="9" t="s">
        <v>32</v>
      </c>
      <c r="O332" s="9" t="s">
        <v>51</v>
      </c>
      <c r="P332" s="9" t="s">
        <v>34</v>
      </c>
      <c r="Q332" s="10" t="str">
        <f>IF(IDMaster[[#This Row],[Consumption]]="Consumption",IDMaster[[#This Row],[Consumption]],IDMaster[[#This Row],[Basis]])</f>
        <v>Revenue</v>
      </c>
      <c r="R332" s="7" t="str">
        <f>IDMaster[[#This Row],[Supported Group]]&amp;"."&amp;IDMaster[[#This Row],[Basis]]</f>
        <v>IT Infrastructure.Revenue</v>
      </c>
      <c r="S332" s="11">
        <v>0.42185161428265983</v>
      </c>
      <c r="T332" s="12">
        <v>0.57814838571734017</v>
      </c>
      <c r="U332" s="12">
        <v>0</v>
      </c>
      <c r="V332" s="12">
        <v>0</v>
      </c>
      <c r="W332" s="12">
        <v>0</v>
      </c>
    </row>
    <row r="333" spans="1:23" x14ac:dyDescent="0.35">
      <c r="A333" s="7" t="s">
        <v>23</v>
      </c>
      <c r="B333" s="7" t="s">
        <v>996</v>
      </c>
      <c r="C333" s="7" t="s">
        <v>997</v>
      </c>
      <c r="D333" s="8"/>
      <c r="E333" s="7" t="s">
        <v>46</v>
      </c>
      <c r="F333" s="7" t="s">
        <v>998</v>
      </c>
      <c r="G333" s="7" t="s">
        <v>48</v>
      </c>
      <c r="H333" s="7" t="s">
        <v>489</v>
      </c>
      <c r="I333" s="7" t="s">
        <v>28</v>
      </c>
      <c r="J333" s="7" t="s">
        <v>40</v>
      </c>
      <c r="K333" s="7" t="s">
        <v>695</v>
      </c>
      <c r="L333" s="7" t="s">
        <v>691</v>
      </c>
      <c r="M333" s="7" t="s">
        <v>999</v>
      </c>
      <c r="N333" s="9" t="s">
        <v>32</v>
      </c>
      <c r="O333" s="9" t="s">
        <v>33</v>
      </c>
      <c r="P333" s="9" t="s">
        <v>34</v>
      </c>
      <c r="Q333" s="10" t="str">
        <f>IF(IDMaster[[#This Row],[Consumption]]="Consumption",IDMaster[[#This Row],[Consumption]],IDMaster[[#This Row],[Basis]])</f>
        <v>Revenue</v>
      </c>
      <c r="R333" s="7" t="str">
        <f>IDMaster[[#This Row],[Supported Group]]&amp;"."&amp;IDMaster[[#This Row],[Basis]]</f>
        <v>IT Tools.Revenue</v>
      </c>
      <c r="S333" s="11">
        <v>0.42185161428265983</v>
      </c>
      <c r="T333" s="12">
        <v>0.57814838571734017</v>
      </c>
      <c r="U333" s="12">
        <v>0</v>
      </c>
      <c r="V333" s="12">
        <v>0</v>
      </c>
      <c r="W333" s="12">
        <v>0</v>
      </c>
    </row>
    <row r="334" spans="1:23" x14ac:dyDescent="0.35">
      <c r="A334" s="7" t="s">
        <v>23</v>
      </c>
      <c r="B334" s="7" t="s">
        <v>1000</v>
      </c>
      <c r="C334" s="7" t="s">
        <v>1001</v>
      </c>
      <c r="D334" s="8"/>
      <c r="E334" s="7" t="s">
        <v>46</v>
      </c>
      <c r="F334" s="7" t="s">
        <v>1001</v>
      </c>
      <c r="G334" s="7" t="s">
        <v>48</v>
      </c>
      <c r="H334" s="7" t="s">
        <v>39</v>
      </c>
      <c r="I334" s="7" t="s">
        <v>123</v>
      </c>
      <c r="J334" s="7" t="s">
        <v>267</v>
      </c>
      <c r="K334" s="7" t="s">
        <v>695</v>
      </c>
      <c r="L334" s="7" t="s">
        <v>691</v>
      </c>
      <c r="M334" s="7" t="s">
        <v>43</v>
      </c>
      <c r="N334" s="9" t="s">
        <v>692</v>
      </c>
      <c r="O334" s="9" t="s">
        <v>538</v>
      </c>
      <c r="P334" s="9" t="s">
        <v>34</v>
      </c>
      <c r="Q334" s="10" t="str">
        <f>IF(IDMaster[[#This Row],[Consumption]]="Consumption",IDMaster[[#This Row],[Consumption]],IDMaster[[#This Row],[Basis]])</f>
        <v>Store Count</v>
      </c>
      <c r="R334" s="7" t="str">
        <f>IDMaster[[#This Row],[Supported Group]]&amp;"."&amp;IDMaster[[#This Row],[Basis]]</f>
        <v>RAC.Store Count</v>
      </c>
      <c r="S334" s="11">
        <v>0.7087214225232854</v>
      </c>
      <c r="T334" s="12">
        <v>0.29127857747671465</v>
      </c>
      <c r="U334" s="12">
        <v>0</v>
      </c>
      <c r="V334" s="12">
        <v>0</v>
      </c>
      <c r="W334" s="12">
        <v>0</v>
      </c>
    </row>
    <row r="335" spans="1:23" x14ac:dyDescent="0.35">
      <c r="A335" s="7" t="s">
        <v>23</v>
      </c>
      <c r="B335" s="7" t="s">
        <v>1002</v>
      </c>
      <c r="C335" s="7" t="s">
        <v>1003</v>
      </c>
      <c r="D335" s="8">
        <v>290588</v>
      </c>
      <c r="E335" s="7" t="s">
        <v>117</v>
      </c>
      <c r="F335" s="7" t="s">
        <v>483</v>
      </c>
      <c r="G335" s="7" t="s">
        <v>72</v>
      </c>
      <c r="H335" s="7" t="s">
        <v>489</v>
      </c>
      <c r="I335" s="7" t="s">
        <v>28</v>
      </c>
      <c r="J335" s="7" t="s">
        <v>40</v>
      </c>
      <c r="K335" s="7" t="s">
        <v>695</v>
      </c>
      <c r="L335" s="7" t="s">
        <v>691</v>
      </c>
      <c r="M335" s="7" t="s">
        <v>43</v>
      </c>
      <c r="N335" s="9" t="s">
        <v>32</v>
      </c>
      <c r="O335" s="9" t="s">
        <v>67</v>
      </c>
      <c r="P335" s="9" t="s">
        <v>34</v>
      </c>
      <c r="Q335" s="10" t="str">
        <f>IF(IDMaster[[#This Row],[Consumption]]="Consumption",IDMaster[[#This Row],[Consumption]],IDMaster[[#This Row],[Basis]])</f>
        <v>Revenue</v>
      </c>
      <c r="R335" s="7" t="str">
        <f>IDMaster[[#This Row],[Supported Group]]&amp;"."&amp;IDMaster[[#This Row],[Basis]]</f>
        <v>IT Corporate.Revenue</v>
      </c>
      <c r="S335" s="11">
        <v>0.42185161428265983</v>
      </c>
      <c r="T335" s="12">
        <v>0.57814838571734017</v>
      </c>
      <c r="U335" s="12">
        <v>0</v>
      </c>
      <c r="V335" s="12">
        <v>0</v>
      </c>
      <c r="W335" s="12">
        <v>0</v>
      </c>
    </row>
    <row r="336" spans="1:23" x14ac:dyDescent="0.35">
      <c r="A336" s="7" t="s">
        <v>23</v>
      </c>
      <c r="B336" s="7" t="s">
        <v>1004</v>
      </c>
      <c r="C336" s="7" t="s">
        <v>1005</v>
      </c>
      <c r="D336" s="8"/>
      <c r="E336" s="7" t="s">
        <v>70</v>
      </c>
      <c r="F336" s="7" t="s">
        <v>1006</v>
      </c>
      <c r="G336" s="7" t="s">
        <v>72</v>
      </c>
      <c r="H336" s="7" t="s">
        <v>489</v>
      </c>
      <c r="I336" s="7" t="s">
        <v>28</v>
      </c>
      <c r="J336" s="7" t="s">
        <v>40</v>
      </c>
      <c r="K336" s="7" t="s">
        <v>41</v>
      </c>
      <c r="L336" s="7" t="s">
        <v>42</v>
      </c>
      <c r="M336" s="7" t="s">
        <v>1007</v>
      </c>
      <c r="N336" s="9" t="s">
        <v>32</v>
      </c>
      <c r="O336" s="9" t="s">
        <v>407</v>
      </c>
      <c r="P336" s="9" t="s">
        <v>34</v>
      </c>
      <c r="Q336" s="10" t="str">
        <f>IF(IDMaster[[#This Row],[Consumption]]="Consumption",IDMaster[[#This Row],[Consumption]],IDMaster[[#This Row],[Basis]])</f>
        <v>Revenue</v>
      </c>
      <c r="R336" s="7" t="str">
        <f>IDMaster[[#This Row],[Supported Group]]&amp;"."&amp;IDMaster[[#This Row],[Basis]]</f>
        <v>IT Dev Tools.Revenue</v>
      </c>
      <c r="S336" s="11">
        <v>0.42185161428265983</v>
      </c>
      <c r="T336" s="12">
        <v>0.57814838571734017</v>
      </c>
      <c r="U336" s="12">
        <v>0</v>
      </c>
      <c r="V336" s="12">
        <v>0</v>
      </c>
      <c r="W336" s="12">
        <v>0</v>
      </c>
    </row>
    <row r="337" spans="1:23" x14ac:dyDescent="0.35">
      <c r="A337" s="7" t="s">
        <v>23</v>
      </c>
      <c r="B337" s="7" t="s">
        <v>1008</v>
      </c>
      <c r="C337" s="7" t="s">
        <v>656</v>
      </c>
      <c r="D337" s="8">
        <v>317439</v>
      </c>
      <c r="E337" s="7" t="s">
        <v>595</v>
      </c>
      <c r="F337" s="7" t="s">
        <v>1009</v>
      </c>
      <c r="G337" s="7" t="s">
        <v>48</v>
      </c>
      <c r="H337" s="7" t="s">
        <v>489</v>
      </c>
      <c r="I337" s="7" t="s">
        <v>123</v>
      </c>
      <c r="J337" s="7" t="s">
        <v>124</v>
      </c>
      <c r="K337" s="7" t="s">
        <v>695</v>
      </c>
      <c r="L337" s="7" t="s">
        <v>691</v>
      </c>
      <c r="M337" s="7" t="s">
        <v>1010</v>
      </c>
      <c r="N337" s="9" t="s">
        <v>446</v>
      </c>
      <c r="O337" s="9" t="s">
        <v>659</v>
      </c>
      <c r="P337" s="9" t="s">
        <v>34</v>
      </c>
      <c r="Q337" s="10" t="str">
        <f>IF(IDMaster[[#This Row],[Consumption]]="Consumption",IDMaster[[#This Row],[Consumption]],IDMaster[[#This Row],[Basis]])</f>
        <v>Acima Direct</v>
      </c>
      <c r="R337" s="7" t="str">
        <f>IDMaster[[#This Row],[Supported Group]]&amp;"."&amp;IDMaster[[#This Row],[Basis]]</f>
        <v>AI.Acima Direct</v>
      </c>
      <c r="S337" s="11">
        <v>0</v>
      </c>
      <c r="T337" s="12">
        <v>1</v>
      </c>
      <c r="U337" s="12">
        <v>0</v>
      </c>
      <c r="V337" s="12">
        <v>0</v>
      </c>
      <c r="W337" s="12">
        <v>0</v>
      </c>
    </row>
    <row r="338" spans="1:23" x14ac:dyDescent="0.35">
      <c r="A338" s="7" t="s">
        <v>23</v>
      </c>
      <c r="B338" s="7" t="s">
        <v>1011</v>
      </c>
      <c r="C338" s="7" t="s">
        <v>951</v>
      </c>
      <c r="D338" s="8" t="s">
        <v>640</v>
      </c>
      <c r="E338" s="7" t="s">
        <v>46</v>
      </c>
      <c r="F338" s="7" t="s">
        <v>952</v>
      </c>
      <c r="G338" s="7" t="s">
        <v>48</v>
      </c>
      <c r="H338" s="7" t="s">
        <v>489</v>
      </c>
      <c r="I338" s="7" t="s">
        <v>28</v>
      </c>
      <c r="J338" s="7" t="s">
        <v>40</v>
      </c>
      <c r="K338" s="7" t="s">
        <v>41</v>
      </c>
      <c r="L338" s="7" t="s">
        <v>42</v>
      </c>
      <c r="M338" s="7" t="s">
        <v>953</v>
      </c>
      <c r="N338" s="9" t="s">
        <v>32</v>
      </c>
      <c r="O338" s="9" t="s">
        <v>33</v>
      </c>
      <c r="P338" s="9" t="s">
        <v>34</v>
      </c>
      <c r="Q338" s="10" t="str">
        <f>IF(IDMaster[[#This Row],[Consumption]]="Consumption",IDMaster[[#This Row],[Consumption]],IDMaster[[#This Row],[Basis]])</f>
        <v>Revenue</v>
      </c>
      <c r="R338" s="7" t="str">
        <f>IDMaster[[#This Row],[Supported Group]]&amp;"."&amp;IDMaster[[#This Row],[Basis]]</f>
        <v>IT Tools.Revenue</v>
      </c>
      <c r="S338" s="11">
        <v>0.42185161428265983</v>
      </c>
      <c r="T338" s="12">
        <v>0.57814838571734017</v>
      </c>
      <c r="U338" s="12">
        <v>0</v>
      </c>
      <c r="V338" s="12">
        <v>0</v>
      </c>
      <c r="W338" s="12">
        <v>0</v>
      </c>
    </row>
    <row r="339" spans="1:23" x14ac:dyDescent="0.35">
      <c r="A339" s="7" t="s">
        <v>23</v>
      </c>
      <c r="B339" s="7" t="s">
        <v>1012</v>
      </c>
      <c r="C339" s="7" t="s">
        <v>1013</v>
      </c>
      <c r="D339" s="8"/>
      <c r="E339" s="7" t="s">
        <v>595</v>
      </c>
      <c r="F339" s="7" t="s">
        <v>1013</v>
      </c>
      <c r="G339" s="7" t="s">
        <v>48</v>
      </c>
      <c r="H339" s="7" t="s">
        <v>489</v>
      </c>
      <c r="I339" s="7" t="s">
        <v>28</v>
      </c>
      <c r="J339" s="7" t="s">
        <v>40</v>
      </c>
      <c r="K339" s="7" t="s">
        <v>41</v>
      </c>
      <c r="L339" s="7" t="s">
        <v>42</v>
      </c>
      <c r="M339" s="7" t="s">
        <v>1014</v>
      </c>
      <c r="N339" s="9" t="s">
        <v>32</v>
      </c>
      <c r="O339" s="9" t="s">
        <v>407</v>
      </c>
      <c r="P339" s="9" t="s">
        <v>34</v>
      </c>
      <c r="Q339" s="10" t="str">
        <f>IF(IDMaster[[#This Row],[Consumption]]="Consumption",IDMaster[[#This Row],[Consumption]],IDMaster[[#This Row],[Basis]])</f>
        <v>Revenue</v>
      </c>
      <c r="R339" s="7" t="str">
        <f>IDMaster[[#This Row],[Supported Group]]&amp;"."&amp;IDMaster[[#This Row],[Basis]]</f>
        <v>IT Dev Tools.Revenue</v>
      </c>
      <c r="S339" s="11">
        <v>0.42185161428265983</v>
      </c>
      <c r="T339" s="12">
        <v>0.57814838571734017</v>
      </c>
      <c r="U339" s="12">
        <v>0</v>
      </c>
      <c r="V339" s="12">
        <v>0</v>
      </c>
      <c r="W339" s="12">
        <v>0</v>
      </c>
    </row>
    <row r="340" spans="1:23" x14ac:dyDescent="0.35">
      <c r="A340" s="7" t="s">
        <v>23</v>
      </c>
      <c r="B340" s="7" t="s">
        <v>1015</v>
      </c>
      <c r="C340" s="7" t="s">
        <v>1016</v>
      </c>
      <c r="D340" s="8">
        <v>317551</v>
      </c>
      <c r="E340" s="7" t="s">
        <v>46</v>
      </c>
      <c r="F340" s="7" t="s">
        <v>1017</v>
      </c>
      <c r="G340" s="7" t="s">
        <v>48</v>
      </c>
      <c r="H340" s="7" t="s">
        <v>489</v>
      </c>
      <c r="I340" s="7" t="s">
        <v>28</v>
      </c>
      <c r="J340" s="7" t="s">
        <v>40</v>
      </c>
      <c r="K340" s="7" t="s">
        <v>41</v>
      </c>
      <c r="L340" s="7" t="s">
        <v>42</v>
      </c>
      <c r="M340" s="7" t="s">
        <v>1018</v>
      </c>
      <c r="N340" s="9" t="s">
        <v>32</v>
      </c>
      <c r="O340" s="9" t="s">
        <v>538</v>
      </c>
      <c r="P340" s="9" t="s">
        <v>34</v>
      </c>
      <c r="Q340" s="10" t="str">
        <f>IF(IDMaster[[#This Row],[Consumption]]="Consumption",IDMaster[[#This Row],[Consumption]],IDMaster[[#This Row],[Basis]])</f>
        <v>Revenue</v>
      </c>
      <c r="R340" s="7" t="str">
        <f>IDMaster[[#This Row],[Supported Group]]&amp;"."&amp;IDMaster[[#This Row],[Basis]]</f>
        <v>RAC.Revenue</v>
      </c>
      <c r="S340" s="11">
        <v>0.42185161428265983</v>
      </c>
      <c r="T340" s="12">
        <v>0.57814838571734017</v>
      </c>
      <c r="U340" s="12">
        <v>0</v>
      </c>
      <c r="V340" s="12">
        <v>0</v>
      </c>
      <c r="W340" s="12">
        <v>0</v>
      </c>
    </row>
    <row r="341" spans="1:23" x14ac:dyDescent="0.35">
      <c r="A341" s="7" t="s">
        <v>23</v>
      </c>
      <c r="B341" s="7" t="s">
        <v>1019</v>
      </c>
      <c r="C341" s="7" t="s">
        <v>1020</v>
      </c>
      <c r="D341" s="8"/>
      <c r="E341" s="7" t="s">
        <v>451</v>
      </c>
      <c r="F341" s="7" t="s">
        <v>1021</v>
      </c>
      <c r="G341" s="7" t="s">
        <v>72</v>
      </c>
      <c r="H341" s="7" t="s">
        <v>489</v>
      </c>
      <c r="I341" s="7" t="s">
        <v>28</v>
      </c>
      <c r="J341" s="7" t="s">
        <v>40</v>
      </c>
      <c r="K341" s="7" t="s">
        <v>41</v>
      </c>
      <c r="L341" s="7" t="s">
        <v>42</v>
      </c>
      <c r="M341" s="7" t="s">
        <v>1022</v>
      </c>
      <c r="N341" s="9" t="s">
        <v>32</v>
      </c>
      <c r="O341" s="9" t="s">
        <v>33</v>
      </c>
      <c r="P341" s="9" t="s">
        <v>34</v>
      </c>
      <c r="Q341" s="10" t="str">
        <f>IF(IDMaster[[#This Row],[Consumption]]="Consumption",IDMaster[[#This Row],[Consumption]],IDMaster[[#This Row],[Basis]])</f>
        <v>Revenue</v>
      </c>
      <c r="R341" s="7" t="str">
        <f>IDMaster[[#This Row],[Supported Group]]&amp;"."&amp;IDMaster[[#This Row],[Basis]]</f>
        <v>IT Tools.Revenue</v>
      </c>
      <c r="S341" s="11">
        <v>0.42185161428265983</v>
      </c>
      <c r="T341" s="12">
        <v>0.57814838571734017</v>
      </c>
      <c r="U341" s="12">
        <v>0</v>
      </c>
      <c r="V341" s="12">
        <v>0</v>
      </c>
      <c r="W341" s="12">
        <v>0</v>
      </c>
    </row>
    <row r="342" spans="1:23" x14ac:dyDescent="0.35">
      <c r="A342" s="7" t="s">
        <v>23</v>
      </c>
      <c r="B342" s="7" t="s">
        <v>1023</v>
      </c>
      <c r="C342" s="7" t="s">
        <v>1024</v>
      </c>
      <c r="D342" s="8"/>
      <c r="E342" s="7" t="s">
        <v>451</v>
      </c>
      <c r="F342" s="7" t="s">
        <v>1024</v>
      </c>
      <c r="G342" s="7" t="s">
        <v>48</v>
      </c>
      <c r="H342" s="7" t="s">
        <v>489</v>
      </c>
      <c r="I342" s="7" t="s">
        <v>28</v>
      </c>
      <c r="J342" s="7" t="s">
        <v>124</v>
      </c>
      <c r="K342" s="7" t="s">
        <v>695</v>
      </c>
      <c r="L342" s="7" t="s">
        <v>691</v>
      </c>
      <c r="M342" s="7" t="s">
        <v>43</v>
      </c>
      <c r="N342" s="9" t="s">
        <v>32</v>
      </c>
      <c r="O342" s="9" t="s">
        <v>33</v>
      </c>
      <c r="P342" s="9" t="s">
        <v>34</v>
      </c>
      <c r="Q342" s="10" t="str">
        <f>IF(IDMaster[[#This Row],[Consumption]]="Consumption",IDMaster[[#This Row],[Consumption]],IDMaster[[#This Row],[Basis]])</f>
        <v>Revenue</v>
      </c>
      <c r="R342" s="7" t="str">
        <f>IDMaster[[#This Row],[Supported Group]]&amp;"."&amp;IDMaster[[#This Row],[Basis]]</f>
        <v>IT Tools.Revenue</v>
      </c>
      <c r="S342" s="11">
        <v>0.42185161428265983</v>
      </c>
      <c r="T342" s="12">
        <v>0.57814838571734017</v>
      </c>
      <c r="U342" s="12">
        <v>0</v>
      </c>
      <c r="V342" s="12">
        <v>0</v>
      </c>
      <c r="W342" s="12">
        <v>0</v>
      </c>
    </row>
    <row r="343" spans="1:23" x14ac:dyDescent="0.35">
      <c r="A343" s="7" t="s">
        <v>23</v>
      </c>
      <c r="B343" s="7" t="s">
        <v>1025</v>
      </c>
      <c r="C343" s="15" t="s">
        <v>108</v>
      </c>
      <c r="D343" s="8">
        <v>266580</v>
      </c>
      <c r="E343" s="7" t="s">
        <v>70</v>
      </c>
      <c r="F343" s="7" t="s">
        <v>1026</v>
      </c>
      <c r="G343" s="7" t="s">
        <v>72</v>
      </c>
      <c r="H343" s="7" t="s">
        <v>489</v>
      </c>
      <c r="I343" s="7" t="s">
        <v>28</v>
      </c>
      <c r="J343" s="7" t="s">
        <v>40</v>
      </c>
      <c r="K343" s="7" t="s">
        <v>80</v>
      </c>
      <c r="L343" s="7" t="s">
        <v>42</v>
      </c>
      <c r="M343" s="7" t="s">
        <v>1027</v>
      </c>
      <c r="N343" s="9" t="s">
        <v>32</v>
      </c>
      <c r="O343" s="9" t="s">
        <v>99</v>
      </c>
      <c r="P343" s="9" t="s">
        <v>34</v>
      </c>
      <c r="Q343" s="10" t="str">
        <f>IF(IDMaster[[#This Row],[Consumption]]="Consumption",IDMaster[[#This Row],[Consumption]],IDMaster[[#This Row],[Basis]])</f>
        <v>Revenue</v>
      </c>
      <c r="R343" s="7" t="str">
        <f>IDMaster[[#This Row],[Supported Group]]&amp;"."&amp;IDMaster[[#This Row],[Basis]]</f>
        <v>Security.Revenue</v>
      </c>
      <c r="S343" s="11">
        <v>0.42185161428265983</v>
      </c>
      <c r="T343" s="12">
        <v>0.57814838571734017</v>
      </c>
      <c r="U343" s="12">
        <v>0</v>
      </c>
      <c r="V343" s="12">
        <v>0</v>
      </c>
      <c r="W343" s="12">
        <v>0</v>
      </c>
    </row>
    <row r="344" spans="1:23" x14ac:dyDescent="0.35">
      <c r="A344" s="7" t="s">
        <v>23</v>
      </c>
      <c r="B344" s="7" t="s">
        <v>1028</v>
      </c>
      <c r="C344" s="7" t="s">
        <v>1029</v>
      </c>
      <c r="D344" s="8">
        <v>370336</v>
      </c>
      <c r="E344" s="7" t="s">
        <v>70</v>
      </c>
      <c r="F344" s="7" t="s">
        <v>1029</v>
      </c>
      <c r="G344" s="7" t="s">
        <v>72</v>
      </c>
      <c r="H344" s="7" t="s">
        <v>489</v>
      </c>
      <c r="I344" s="7" t="s">
        <v>28</v>
      </c>
      <c r="J344" s="7" t="s">
        <v>40</v>
      </c>
      <c r="K344" s="7" t="s">
        <v>80</v>
      </c>
      <c r="L344" s="7" t="s">
        <v>42</v>
      </c>
      <c r="M344" s="7" t="s">
        <v>43</v>
      </c>
      <c r="N344" s="9" t="s">
        <v>32</v>
      </c>
      <c r="O344" s="9" t="s">
        <v>33</v>
      </c>
      <c r="P344" s="9" t="s">
        <v>34</v>
      </c>
      <c r="Q344" s="10" t="str">
        <f>IF(IDMaster[[#This Row],[Consumption]]="Consumption",IDMaster[[#This Row],[Consumption]],IDMaster[[#This Row],[Basis]])</f>
        <v>Revenue</v>
      </c>
      <c r="R344" s="7" t="str">
        <f>IDMaster[[#This Row],[Supported Group]]&amp;"."&amp;IDMaster[[#This Row],[Basis]]</f>
        <v>IT Tools.Revenue</v>
      </c>
      <c r="S344" s="11">
        <v>0.42185161428265983</v>
      </c>
      <c r="T344" s="12">
        <v>0.57814838571734017</v>
      </c>
      <c r="U344" s="12">
        <v>0</v>
      </c>
      <c r="V344" s="12">
        <v>0</v>
      </c>
      <c r="W344" s="12">
        <v>0</v>
      </c>
    </row>
    <row r="345" spans="1:23" x14ac:dyDescent="0.35">
      <c r="A345" s="7" t="s">
        <v>23</v>
      </c>
      <c r="B345" s="7" t="s">
        <v>1030</v>
      </c>
      <c r="C345" s="7" t="s">
        <v>1031</v>
      </c>
      <c r="D345" s="8">
        <v>289667</v>
      </c>
      <c r="E345" s="7" t="s">
        <v>46</v>
      </c>
      <c r="F345" s="7" t="s">
        <v>1032</v>
      </c>
      <c r="G345" s="7" t="s">
        <v>48</v>
      </c>
      <c r="H345" s="7" t="s">
        <v>489</v>
      </c>
      <c r="I345" s="7" t="s">
        <v>28</v>
      </c>
      <c r="J345" s="7" t="s">
        <v>40</v>
      </c>
      <c r="K345" s="7" t="s">
        <v>80</v>
      </c>
      <c r="L345" s="7" t="s">
        <v>42</v>
      </c>
      <c r="M345" s="7" t="s">
        <v>1033</v>
      </c>
      <c r="N345" s="9" t="s">
        <v>92</v>
      </c>
      <c r="O345" s="9" t="s">
        <v>33</v>
      </c>
      <c r="P345" s="9" t="s">
        <v>34</v>
      </c>
      <c r="Q345" s="10" t="str">
        <f>IF(IDMaster[[#This Row],[Consumption]]="Consumption",IDMaster[[#This Row],[Consumption]],IDMaster[[#This Row],[Basis]])</f>
        <v>Total Headcount</v>
      </c>
      <c r="R345" s="7" t="str">
        <f>IDMaster[[#This Row],[Supported Group]]&amp;"."&amp;IDMaster[[#This Row],[Basis]]</f>
        <v>IT Tools.Total Headcount</v>
      </c>
      <c r="S345" s="11">
        <v>0.69106036166058238</v>
      </c>
      <c r="T345" s="12">
        <v>0.14347567705238135</v>
      </c>
      <c r="U345" s="12">
        <v>0</v>
      </c>
      <c r="V345" s="12">
        <v>0</v>
      </c>
      <c r="W345" s="12">
        <v>0.16546396128703625</v>
      </c>
    </row>
    <row r="346" spans="1:23" x14ac:dyDescent="0.35">
      <c r="A346" s="7" t="s">
        <v>23</v>
      </c>
      <c r="B346" s="7" t="s">
        <v>1034</v>
      </c>
      <c r="C346" s="7" t="s">
        <v>134</v>
      </c>
      <c r="D346" s="8"/>
      <c r="E346" s="7" t="s">
        <v>46</v>
      </c>
      <c r="F346" s="7" t="s">
        <v>691</v>
      </c>
      <c r="G346" s="7" t="s">
        <v>48</v>
      </c>
      <c r="H346" s="7" t="s">
        <v>39</v>
      </c>
      <c r="I346" s="7" t="s">
        <v>123</v>
      </c>
      <c r="J346" s="7" t="s">
        <v>267</v>
      </c>
      <c r="K346" s="7" t="s">
        <v>690</v>
      </c>
      <c r="L346" s="7" t="s">
        <v>691</v>
      </c>
      <c r="M346" s="7" t="s">
        <v>43</v>
      </c>
      <c r="N346" s="9" t="s">
        <v>692</v>
      </c>
      <c r="O346" s="9" t="s">
        <v>538</v>
      </c>
      <c r="P346" s="9" t="s">
        <v>34</v>
      </c>
      <c r="Q346" s="10" t="str">
        <f>IF(IDMaster[[#This Row],[Consumption]]="Consumption",IDMaster[[#This Row],[Consumption]],IDMaster[[#This Row],[Basis]])</f>
        <v>Store Count</v>
      </c>
      <c r="R346" s="7" t="str">
        <f>IDMaster[[#This Row],[Supported Group]]&amp;"."&amp;IDMaster[[#This Row],[Basis]]</f>
        <v>RAC.Store Count</v>
      </c>
      <c r="S346" s="11">
        <v>0.7087214225232854</v>
      </c>
      <c r="T346" s="12">
        <v>0.29127857747671465</v>
      </c>
      <c r="U346" s="12">
        <v>0</v>
      </c>
      <c r="V346" s="12">
        <v>0</v>
      </c>
      <c r="W346" s="12">
        <v>0</v>
      </c>
    </row>
    <row r="347" spans="1:23" x14ac:dyDescent="0.35">
      <c r="A347" s="7" t="s">
        <v>23</v>
      </c>
      <c r="B347" s="7" t="s">
        <v>1035</v>
      </c>
      <c r="C347" s="7" t="s">
        <v>134</v>
      </c>
      <c r="D347" s="8"/>
      <c r="E347" s="7" t="s">
        <v>46</v>
      </c>
      <c r="F347" s="7" t="s">
        <v>691</v>
      </c>
      <c r="G347" s="7" t="s">
        <v>48</v>
      </c>
      <c r="H347" s="7" t="s">
        <v>39</v>
      </c>
      <c r="I347" s="7" t="s">
        <v>123</v>
      </c>
      <c r="J347" s="7" t="s">
        <v>267</v>
      </c>
      <c r="K347" s="7" t="s">
        <v>695</v>
      </c>
      <c r="L347" s="7" t="s">
        <v>691</v>
      </c>
      <c r="M347" s="7" t="s">
        <v>43</v>
      </c>
      <c r="N347" s="9" t="s">
        <v>692</v>
      </c>
      <c r="O347" s="9" t="s">
        <v>538</v>
      </c>
      <c r="P347" s="9" t="s">
        <v>34</v>
      </c>
      <c r="Q347" s="10" t="str">
        <f>IF(IDMaster[[#This Row],[Consumption]]="Consumption",IDMaster[[#This Row],[Consumption]],IDMaster[[#This Row],[Basis]])</f>
        <v>Store Count</v>
      </c>
      <c r="R347" s="7" t="str">
        <f>IDMaster[[#This Row],[Supported Group]]&amp;"."&amp;IDMaster[[#This Row],[Basis]]</f>
        <v>RAC.Store Count</v>
      </c>
      <c r="S347" s="11">
        <v>0.7087214225232854</v>
      </c>
      <c r="T347" s="12">
        <v>0.29127857747671465</v>
      </c>
      <c r="U347" s="12">
        <v>0</v>
      </c>
      <c r="V347" s="12">
        <v>0</v>
      </c>
      <c r="W347" s="12">
        <v>0</v>
      </c>
    </row>
    <row r="348" spans="1:23" x14ac:dyDescent="0.35">
      <c r="A348" s="7" t="s">
        <v>23</v>
      </c>
      <c r="B348" s="7" t="s">
        <v>1036</v>
      </c>
      <c r="C348" s="7" t="s">
        <v>911</v>
      </c>
      <c r="D348" s="8">
        <v>78398</v>
      </c>
      <c r="E348" s="7" t="s">
        <v>46</v>
      </c>
      <c r="F348" s="7" t="s">
        <v>1037</v>
      </c>
      <c r="G348" s="7" t="s">
        <v>48</v>
      </c>
      <c r="H348" s="7" t="s">
        <v>39</v>
      </c>
      <c r="I348" s="7" t="s">
        <v>123</v>
      </c>
      <c r="J348" s="7" t="s">
        <v>267</v>
      </c>
      <c r="K348" s="7" t="s">
        <v>690</v>
      </c>
      <c r="L348" s="7" t="s">
        <v>691</v>
      </c>
      <c r="M348" s="7" t="s">
        <v>43</v>
      </c>
      <c r="N348" s="9" t="s">
        <v>126</v>
      </c>
      <c r="O348" s="9" t="s">
        <v>538</v>
      </c>
      <c r="P348" s="9" t="s">
        <v>34</v>
      </c>
      <c r="Q348" s="10" t="str">
        <f>IF(IDMaster[[#This Row],[Consumption]]="Consumption",IDMaster[[#This Row],[Consumption]],IDMaster[[#This Row],[Basis]])</f>
        <v>RAC Direct</v>
      </c>
      <c r="R348" s="7" t="str">
        <f>IDMaster[[#This Row],[Supported Group]]&amp;"."&amp;IDMaster[[#This Row],[Basis]]</f>
        <v>RAC.RAC Direct</v>
      </c>
      <c r="S348" s="11">
        <v>1</v>
      </c>
      <c r="T348" s="12">
        <v>0</v>
      </c>
      <c r="U348" s="12">
        <v>0</v>
      </c>
      <c r="V348" s="12">
        <v>0</v>
      </c>
      <c r="W348" s="12">
        <v>0</v>
      </c>
    </row>
    <row r="349" spans="1:23" x14ac:dyDescent="0.35">
      <c r="A349" s="7" t="s">
        <v>23</v>
      </c>
      <c r="B349" s="7" t="s">
        <v>1038</v>
      </c>
      <c r="C349" s="7" t="s">
        <v>1039</v>
      </c>
      <c r="D349" s="8">
        <v>196080</v>
      </c>
      <c r="E349" s="7" t="s">
        <v>46</v>
      </c>
      <c r="F349" s="7" t="s">
        <v>1040</v>
      </c>
      <c r="G349" s="7" t="s">
        <v>48</v>
      </c>
      <c r="H349" s="7" t="s">
        <v>39</v>
      </c>
      <c r="I349" s="7" t="s">
        <v>123</v>
      </c>
      <c r="J349" s="7" t="s">
        <v>267</v>
      </c>
      <c r="K349" s="7" t="s">
        <v>1041</v>
      </c>
      <c r="L349" s="7" t="s">
        <v>691</v>
      </c>
      <c r="M349" s="7" t="s">
        <v>43</v>
      </c>
      <c r="N349" s="9" t="s">
        <v>692</v>
      </c>
      <c r="O349" s="9" t="s">
        <v>538</v>
      </c>
      <c r="P349" s="9" t="s">
        <v>34</v>
      </c>
      <c r="Q349" s="10" t="str">
        <f>IF(IDMaster[[#This Row],[Consumption]]="Consumption",IDMaster[[#This Row],[Consumption]],IDMaster[[#This Row],[Basis]])</f>
        <v>Store Count</v>
      </c>
      <c r="R349" s="7" t="str">
        <f>IDMaster[[#This Row],[Supported Group]]&amp;"."&amp;IDMaster[[#This Row],[Basis]]</f>
        <v>RAC.Store Count</v>
      </c>
      <c r="S349" s="11">
        <v>0.7087214225232854</v>
      </c>
      <c r="T349" s="12">
        <v>0.29127857747671465</v>
      </c>
      <c r="U349" s="12">
        <v>0</v>
      </c>
      <c r="V349" s="12">
        <v>0</v>
      </c>
      <c r="W349" s="12">
        <v>0</v>
      </c>
    </row>
    <row r="350" spans="1:23" x14ac:dyDescent="0.35">
      <c r="A350" s="7" t="s">
        <v>23</v>
      </c>
      <c r="B350" s="7" t="s">
        <v>1042</v>
      </c>
      <c r="C350" s="7" t="s">
        <v>911</v>
      </c>
      <c r="D350" s="8">
        <v>78398</v>
      </c>
      <c r="E350" s="7" t="s">
        <v>584</v>
      </c>
      <c r="F350" s="7" t="s">
        <v>911</v>
      </c>
      <c r="G350" s="7" t="s">
        <v>48</v>
      </c>
      <c r="H350" s="7" t="s">
        <v>27</v>
      </c>
      <c r="I350" s="7" t="s">
        <v>28</v>
      </c>
      <c r="J350" s="7" t="s">
        <v>267</v>
      </c>
      <c r="K350" s="7" t="s">
        <v>690</v>
      </c>
      <c r="L350" s="7" t="s">
        <v>691</v>
      </c>
      <c r="M350" s="7" t="s">
        <v>43</v>
      </c>
      <c r="N350" s="9" t="s">
        <v>32</v>
      </c>
      <c r="O350" s="9" t="s">
        <v>67</v>
      </c>
      <c r="P350" s="9" t="s">
        <v>34</v>
      </c>
      <c r="Q350" s="10" t="str">
        <f>IF(IDMaster[[#This Row],[Consumption]]="Consumption",IDMaster[[#This Row],[Consumption]],IDMaster[[#This Row],[Basis]])</f>
        <v>Revenue</v>
      </c>
      <c r="R350" s="7" t="str">
        <f>IDMaster[[#This Row],[Supported Group]]&amp;"."&amp;IDMaster[[#This Row],[Basis]]</f>
        <v>IT Corporate.Revenue</v>
      </c>
      <c r="S350" s="11">
        <v>0.42185161428265983</v>
      </c>
      <c r="T350" s="12">
        <v>0.57814838571734017</v>
      </c>
      <c r="U350" s="12">
        <v>0</v>
      </c>
      <c r="V350" s="12">
        <v>0</v>
      </c>
      <c r="W350" s="12">
        <v>0</v>
      </c>
    </row>
    <row r="351" spans="1:23" x14ac:dyDescent="0.35">
      <c r="A351" s="7" t="s">
        <v>23</v>
      </c>
      <c r="B351" s="7" t="s">
        <v>1043</v>
      </c>
      <c r="C351" s="7" t="s">
        <v>911</v>
      </c>
      <c r="D351" s="8">
        <v>78398</v>
      </c>
      <c r="E351" s="7" t="s">
        <v>584</v>
      </c>
      <c r="F351" s="7" t="s">
        <v>911</v>
      </c>
      <c r="G351" s="7" t="s">
        <v>48</v>
      </c>
      <c r="H351" s="7" t="s">
        <v>27</v>
      </c>
      <c r="I351" s="7" t="s">
        <v>28</v>
      </c>
      <c r="J351" s="7" t="s">
        <v>267</v>
      </c>
      <c r="K351" s="7" t="s">
        <v>690</v>
      </c>
      <c r="L351" s="7" t="s">
        <v>691</v>
      </c>
      <c r="M351" s="7" t="s">
        <v>43</v>
      </c>
      <c r="N351" s="9" t="s">
        <v>32</v>
      </c>
      <c r="O351" s="9" t="s">
        <v>67</v>
      </c>
      <c r="P351" s="9" t="s">
        <v>34</v>
      </c>
      <c r="Q351" s="10" t="str">
        <f>IF(IDMaster[[#This Row],[Consumption]]="Consumption",IDMaster[[#This Row],[Consumption]],IDMaster[[#This Row],[Basis]])</f>
        <v>Revenue</v>
      </c>
      <c r="R351" s="7" t="str">
        <f>IDMaster[[#This Row],[Supported Group]]&amp;"."&amp;IDMaster[[#This Row],[Basis]]</f>
        <v>IT Corporate.Revenue</v>
      </c>
      <c r="S351" s="11">
        <v>0.42185161428265983</v>
      </c>
      <c r="T351" s="12">
        <v>0.57814838571734017</v>
      </c>
      <c r="U351" s="12">
        <v>0</v>
      </c>
      <c r="V351" s="12">
        <v>0</v>
      </c>
      <c r="W351" s="12">
        <v>0</v>
      </c>
    </row>
    <row r="352" spans="1:23" x14ac:dyDescent="0.35">
      <c r="A352" s="7" t="s">
        <v>23</v>
      </c>
      <c r="B352" s="7" t="s">
        <v>1044</v>
      </c>
      <c r="C352" s="7" t="s">
        <v>911</v>
      </c>
      <c r="D352" s="8">
        <v>78398</v>
      </c>
      <c r="E352" s="7" t="s">
        <v>584</v>
      </c>
      <c r="F352" s="7" t="s">
        <v>911</v>
      </c>
      <c r="G352" s="7" t="s">
        <v>48</v>
      </c>
      <c r="H352" s="7" t="s">
        <v>27</v>
      </c>
      <c r="I352" s="7" t="s">
        <v>28</v>
      </c>
      <c r="J352" s="7" t="s">
        <v>267</v>
      </c>
      <c r="K352" s="7" t="s">
        <v>690</v>
      </c>
      <c r="L352" s="7" t="s">
        <v>691</v>
      </c>
      <c r="M352" s="7" t="s">
        <v>43</v>
      </c>
      <c r="N352" s="9" t="s">
        <v>32</v>
      </c>
      <c r="O352" s="9" t="s">
        <v>67</v>
      </c>
      <c r="P352" s="9" t="s">
        <v>34</v>
      </c>
      <c r="Q352" s="10" t="str">
        <f>IF(IDMaster[[#This Row],[Consumption]]="Consumption",IDMaster[[#This Row],[Consumption]],IDMaster[[#This Row],[Basis]])</f>
        <v>Revenue</v>
      </c>
      <c r="R352" s="7" t="str">
        <f>IDMaster[[#This Row],[Supported Group]]&amp;"."&amp;IDMaster[[#This Row],[Basis]]</f>
        <v>IT Corporate.Revenue</v>
      </c>
      <c r="S352" s="11">
        <v>0.42185161428265983</v>
      </c>
      <c r="T352" s="12">
        <v>0.57814838571734017</v>
      </c>
      <c r="U352" s="12">
        <v>0</v>
      </c>
      <c r="V352" s="12">
        <v>0</v>
      </c>
      <c r="W352" s="12">
        <v>0</v>
      </c>
    </row>
    <row r="353" spans="1:23" x14ac:dyDescent="0.35">
      <c r="A353" s="7" t="s">
        <v>23</v>
      </c>
      <c r="B353" s="7" t="s">
        <v>1045</v>
      </c>
      <c r="C353" s="7" t="s">
        <v>134</v>
      </c>
      <c r="D353" s="8"/>
      <c r="E353" s="7" t="s">
        <v>46</v>
      </c>
      <c r="F353" s="7" t="s">
        <v>691</v>
      </c>
      <c r="G353" s="7" t="s">
        <v>48</v>
      </c>
      <c r="H353" s="7" t="s">
        <v>39</v>
      </c>
      <c r="I353" s="7" t="s">
        <v>123</v>
      </c>
      <c r="J353" s="7" t="s">
        <v>267</v>
      </c>
      <c r="K353" s="7" t="s">
        <v>1046</v>
      </c>
      <c r="L353" s="7" t="s">
        <v>691</v>
      </c>
      <c r="M353" s="7" t="s">
        <v>43</v>
      </c>
      <c r="N353" s="9" t="s">
        <v>692</v>
      </c>
      <c r="O353" s="9" t="s">
        <v>538</v>
      </c>
      <c r="P353" s="9" t="s">
        <v>34</v>
      </c>
      <c r="Q353" s="10" t="str">
        <f>IF(IDMaster[[#This Row],[Consumption]]="Consumption",IDMaster[[#This Row],[Consumption]],IDMaster[[#This Row],[Basis]])</f>
        <v>Store Count</v>
      </c>
      <c r="R353" s="7" t="str">
        <f>IDMaster[[#This Row],[Supported Group]]&amp;"."&amp;IDMaster[[#This Row],[Basis]]</f>
        <v>RAC.Store Count</v>
      </c>
      <c r="S353" s="11">
        <v>0.7087214225232854</v>
      </c>
      <c r="T353" s="12">
        <v>0.29127857747671465</v>
      </c>
      <c r="U353" s="12">
        <v>0</v>
      </c>
      <c r="V353" s="12">
        <v>0</v>
      </c>
      <c r="W353" s="12">
        <v>0</v>
      </c>
    </row>
    <row r="354" spans="1:23" x14ac:dyDescent="0.35">
      <c r="A354" s="7" t="s">
        <v>23</v>
      </c>
      <c r="B354" s="7" t="s">
        <v>1047</v>
      </c>
      <c r="C354" s="7" t="s">
        <v>134</v>
      </c>
      <c r="D354" s="8"/>
      <c r="E354" s="7" t="s">
        <v>46</v>
      </c>
      <c r="F354" s="7" t="s">
        <v>691</v>
      </c>
      <c r="G354" s="7" t="s">
        <v>48</v>
      </c>
      <c r="H354" s="7" t="s">
        <v>39</v>
      </c>
      <c r="I354" s="7" t="s">
        <v>123</v>
      </c>
      <c r="J354" s="7" t="s">
        <v>267</v>
      </c>
      <c r="K354" s="7" t="s">
        <v>690</v>
      </c>
      <c r="L354" s="7" t="s">
        <v>691</v>
      </c>
      <c r="M354" s="7" t="s">
        <v>43</v>
      </c>
      <c r="N354" s="9" t="s">
        <v>692</v>
      </c>
      <c r="O354" s="9" t="s">
        <v>538</v>
      </c>
      <c r="P354" s="9" t="s">
        <v>34</v>
      </c>
      <c r="Q354" s="10" t="str">
        <f>IF(IDMaster[[#This Row],[Consumption]]="Consumption",IDMaster[[#This Row],[Consumption]],IDMaster[[#This Row],[Basis]])</f>
        <v>Store Count</v>
      </c>
      <c r="R354" s="7" t="str">
        <f>IDMaster[[#This Row],[Supported Group]]&amp;"."&amp;IDMaster[[#This Row],[Basis]]</f>
        <v>RAC.Store Count</v>
      </c>
      <c r="S354" s="11">
        <v>0.7087214225232854</v>
      </c>
      <c r="T354" s="12">
        <v>0.29127857747671465</v>
      </c>
      <c r="U354" s="12">
        <v>0</v>
      </c>
      <c r="V354" s="12">
        <v>0</v>
      </c>
      <c r="W354" s="12">
        <v>0</v>
      </c>
    </row>
    <row r="355" spans="1:23" x14ac:dyDescent="0.35">
      <c r="A355" s="7" t="s">
        <v>23</v>
      </c>
      <c r="B355" s="7" t="s">
        <v>1048</v>
      </c>
      <c r="C355" s="7" t="s">
        <v>134</v>
      </c>
      <c r="D355" s="8"/>
      <c r="E355" s="7" t="s">
        <v>46</v>
      </c>
      <c r="F355" s="7" t="s">
        <v>691</v>
      </c>
      <c r="G355" s="7" t="s">
        <v>48</v>
      </c>
      <c r="H355" s="7" t="s">
        <v>39</v>
      </c>
      <c r="I355" s="7" t="s">
        <v>123</v>
      </c>
      <c r="J355" s="7" t="s">
        <v>267</v>
      </c>
      <c r="K355" s="7" t="s">
        <v>1041</v>
      </c>
      <c r="L355" s="7" t="s">
        <v>691</v>
      </c>
      <c r="M355" s="7" t="s">
        <v>43</v>
      </c>
      <c r="N355" s="9" t="s">
        <v>692</v>
      </c>
      <c r="O355" s="9" t="s">
        <v>538</v>
      </c>
      <c r="P355" s="9" t="s">
        <v>34</v>
      </c>
      <c r="Q355" s="10" t="str">
        <f>IF(IDMaster[[#This Row],[Consumption]]="Consumption",IDMaster[[#This Row],[Consumption]],IDMaster[[#This Row],[Basis]])</f>
        <v>Store Count</v>
      </c>
      <c r="R355" s="7" t="str">
        <f>IDMaster[[#This Row],[Supported Group]]&amp;"."&amp;IDMaster[[#This Row],[Basis]]</f>
        <v>RAC.Store Count</v>
      </c>
      <c r="S355" s="11">
        <v>0.7087214225232854</v>
      </c>
      <c r="T355" s="12">
        <v>0.29127857747671465</v>
      </c>
      <c r="U355" s="12">
        <v>0</v>
      </c>
      <c r="V355" s="12">
        <v>0</v>
      </c>
      <c r="W355" s="12">
        <v>0</v>
      </c>
    </row>
    <row r="356" spans="1:23" x14ac:dyDescent="0.35">
      <c r="A356" s="7" t="s">
        <v>23</v>
      </c>
      <c r="B356" s="7" t="s">
        <v>1049</v>
      </c>
      <c r="C356" s="7" t="s">
        <v>1050</v>
      </c>
      <c r="D356" s="8">
        <v>357941</v>
      </c>
      <c r="E356" s="7" t="s">
        <v>451</v>
      </c>
      <c r="F356" s="7" t="s">
        <v>1051</v>
      </c>
      <c r="G356" s="7" t="s">
        <v>72</v>
      </c>
      <c r="H356" s="7" t="s">
        <v>489</v>
      </c>
      <c r="I356" s="7" t="s">
        <v>28</v>
      </c>
      <c r="J356" s="7" t="s">
        <v>267</v>
      </c>
      <c r="K356" s="7" t="s">
        <v>690</v>
      </c>
      <c r="L356" s="7" t="s">
        <v>691</v>
      </c>
      <c r="M356" s="7" t="s">
        <v>43</v>
      </c>
      <c r="N356" s="9" t="s">
        <v>32</v>
      </c>
      <c r="O356" s="9" t="s">
        <v>67</v>
      </c>
      <c r="P356" s="9" t="s">
        <v>34</v>
      </c>
      <c r="Q356" s="10" t="str">
        <f>IF(IDMaster[[#This Row],[Consumption]]="Consumption",IDMaster[[#This Row],[Consumption]],IDMaster[[#This Row],[Basis]])</f>
        <v>Revenue</v>
      </c>
      <c r="R356" s="7" t="str">
        <f>IDMaster[[#This Row],[Supported Group]]&amp;"."&amp;IDMaster[[#This Row],[Basis]]</f>
        <v>IT Corporate.Revenue</v>
      </c>
      <c r="S356" s="11">
        <v>0.42185161428265983</v>
      </c>
      <c r="T356" s="12">
        <v>0.57814838571734017</v>
      </c>
      <c r="U356" s="12">
        <v>0</v>
      </c>
      <c r="V356" s="12">
        <v>0</v>
      </c>
      <c r="W356" s="12">
        <v>0</v>
      </c>
    </row>
    <row r="357" spans="1:23" x14ac:dyDescent="0.35">
      <c r="A357" s="7" t="s">
        <v>23</v>
      </c>
      <c r="B357" s="7" t="s">
        <v>1052</v>
      </c>
      <c r="C357" s="7" t="s">
        <v>1053</v>
      </c>
      <c r="D357" s="8">
        <v>309761</v>
      </c>
      <c r="E357" s="7" t="s">
        <v>46</v>
      </c>
      <c r="F357" s="7" t="s">
        <v>1054</v>
      </c>
      <c r="G357" s="7" t="s">
        <v>48</v>
      </c>
      <c r="H357" s="7" t="s">
        <v>27</v>
      </c>
      <c r="I357" s="7" t="s">
        <v>28</v>
      </c>
      <c r="J357" s="7" t="s">
        <v>267</v>
      </c>
      <c r="K357" s="7" t="s">
        <v>690</v>
      </c>
      <c r="L357" s="7" t="s">
        <v>691</v>
      </c>
      <c r="M357" s="7" t="s">
        <v>1055</v>
      </c>
      <c r="N357" s="9" t="s">
        <v>32</v>
      </c>
      <c r="O357" s="9" t="s">
        <v>51</v>
      </c>
      <c r="P357" s="9" t="s">
        <v>34</v>
      </c>
      <c r="Q357" s="10" t="str">
        <f>IF(IDMaster[[#This Row],[Consumption]]="Consumption",IDMaster[[#This Row],[Consumption]],IDMaster[[#This Row],[Basis]])</f>
        <v>Revenue</v>
      </c>
      <c r="R357" s="7" t="str">
        <f>IDMaster[[#This Row],[Supported Group]]&amp;"."&amp;IDMaster[[#This Row],[Basis]]</f>
        <v>IT Infrastructure.Revenue</v>
      </c>
      <c r="S357" s="11">
        <v>0.42185161428265983</v>
      </c>
      <c r="T357" s="12">
        <v>0.57814838571734017</v>
      </c>
      <c r="U357" s="12">
        <v>0</v>
      </c>
      <c r="V357" s="12">
        <v>0</v>
      </c>
      <c r="W357" s="12">
        <v>0</v>
      </c>
    </row>
    <row r="358" spans="1:23" x14ac:dyDescent="0.35">
      <c r="A358" s="7" t="s">
        <v>23</v>
      </c>
      <c r="B358" s="7" t="s">
        <v>1056</v>
      </c>
      <c r="C358" s="7" t="s">
        <v>1057</v>
      </c>
      <c r="D358" s="8">
        <v>317644</v>
      </c>
      <c r="E358" s="7" t="s">
        <v>46</v>
      </c>
      <c r="F358" s="7" t="s">
        <v>1058</v>
      </c>
      <c r="G358" s="7" t="s">
        <v>48</v>
      </c>
      <c r="H358" s="7" t="s">
        <v>489</v>
      </c>
      <c r="I358" s="7" t="s">
        <v>28</v>
      </c>
      <c r="J358" s="7" t="s">
        <v>267</v>
      </c>
      <c r="K358" s="7" t="s">
        <v>690</v>
      </c>
      <c r="L358" s="7" t="s">
        <v>691</v>
      </c>
      <c r="M358" s="7" t="s">
        <v>1059</v>
      </c>
      <c r="N358" s="9" t="s">
        <v>32</v>
      </c>
      <c r="O358" s="9" t="s">
        <v>67</v>
      </c>
      <c r="P358" s="9" t="s">
        <v>34</v>
      </c>
      <c r="Q358" s="10" t="str">
        <f>IF(IDMaster[[#This Row],[Consumption]]="Consumption",IDMaster[[#This Row],[Consumption]],IDMaster[[#This Row],[Basis]])</f>
        <v>Revenue</v>
      </c>
      <c r="R358" s="7" t="str">
        <f>IDMaster[[#This Row],[Supported Group]]&amp;"."&amp;IDMaster[[#This Row],[Basis]]</f>
        <v>IT Corporate.Revenue</v>
      </c>
      <c r="S358" s="11">
        <v>0.42185161428265983</v>
      </c>
      <c r="T358" s="12">
        <v>0.57814838571734017</v>
      </c>
      <c r="U358" s="12">
        <v>0</v>
      </c>
      <c r="V358" s="12">
        <v>0</v>
      </c>
      <c r="W358" s="12">
        <v>0</v>
      </c>
    </row>
    <row r="359" spans="1:23" x14ac:dyDescent="0.35">
      <c r="A359" s="7" t="s">
        <v>23</v>
      </c>
      <c r="B359" s="7" t="s">
        <v>1060</v>
      </c>
      <c r="C359" s="7" t="s">
        <v>1061</v>
      </c>
      <c r="D359" s="8">
        <v>317584</v>
      </c>
      <c r="E359" s="7" t="s">
        <v>46</v>
      </c>
      <c r="F359" s="7" t="s">
        <v>1062</v>
      </c>
      <c r="G359" s="7" t="s">
        <v>48</v>
      </c>
      <c r="H359" s="7" t="s">
        <v>489</v>
      </c>
      <c r="I359" s="7" t="s">
        <v>28</v>
      </c>
      <c r="J359" s="7" t="s">
        <v>267</v>
      </c>
      <c r="K359" s="7" t="s">
        <v>690</v>
      </c>
      <c r="L359" s="7" t="s">
        <v>691</v>
      </c>
      <c r="M359" s="7" t="s">
        <v>43</v>
      </c>
      <c r="N359" s="9" t="s">
        <v>32</v>
      </c>
      <c r="O359" s="9" t="s">
        <v>67</v>
      </c>
      <c r="P359" s="9" t="s">
        <v>34</v>
      </c>
      <c r="Q359" s="10" t="str">
        <f>IF(IDMaster[[#This Row],[Consumption]]="Consumption",IDMaster[[#This Row],[Consumption]],IDMaster[[#This Row],[Basis]])</f>
        <v>Revenue</v>
      </c>
      <c r="R359" s="7" t="str">
        <f>IDMaster[[#This Row],[Supported Group]]&amp;"."&amp;IDMaster[[#This Row],[Basis]]</f>
        <v>IT Corporate.Revenue</v>
      </c>
      <c r="S359" s="11">
        <v>0.42185161428265983</v>
      </c>
      <c r="T359" s="12">
        <v>0.57814838571734017</v>
      </c>
      <c r="U359" s="12">
        <v>0</v>
      </c>
      <c r="V359" s="12">
        <v>0</v>
      </c>
      <c r="W359" s="12">
        <v>0</v>
      </c>
    </row>
    <row r="360" spans="1:23" x14ac:dyDescent="0.35">
      <c r="A360" s="7" t="s">
        <v>23</v>
      </c>
      <c r="B360" s="7" t="s">
        <v>1063</v>
      </c>
      <c r="C360" s="7" t="s">
        <v>83</v>
      </c>
      <c r="D360" s="8">
        <v>274453</v>
      </c>
      <c r="E360" s="7" t="s">
        <v>46</v>
      </c>
      <c r="F360" s="7" t="s">
        <v>1064</v>
      </c>
      <c r="G360" s="7" t="s">
        <v>48</v>
      </c>
      <c r="H360" s="7" t="s">
        <v>27</v>
      </c>
      <c r="I360" s="7" t="s">
        <v>28</v>
      </c>
      <c r="J360" s="7" t="s">
        <v>50</v>
      </c>
      <c r="K360" s="7" t="s">
        <v>695</v>
      </c>
      <c r="L360" s="7" t="s">
        <v>691</v>
      </c>
      <c r="M360" s="7" t="s">
        <v>50</v>
      </c>
      <c r="N360" s="9" t="s">
        <v>32</v>
      </c>
      <c r="O360" s="9" t="s">
        <v>51</v>
      </c>
      <c r="P360" s="9" t="s">
        <v>34</v>
      </c>
      <c r="Q360" s="10" t="str">
        <f>IF(IDMaster[[#This Row],[Consumption]]="Consumption",IDMaster[[#This Row],[Consumption]],IDMaster[[#This Row],[Basis]])</f>
        <v>Revenue</v>
      </c>
      <c r="R360" s="7" t="str">
        <f>IDMaster[[#This Row],[Supported Group]]&amp;"."&amp;IDMaster[[#This Row],[Basis]]</f>
        <v>IT Infrastructure.Revenue</v>
      </c>
      <c r="S360" s="11">
        <v>0.42185161428265983</v>
      </c>
      <c r="T360" s="12">
        <v>0.57814838571734017</v>
      </c>
      <c r="U360" s="12">
        <v>0</v>
      </c>
      <c r="V360" s="12">
        <v>0</v>
      </c>
      <c r="W360" s="12">
        <v>0</v>
      </c>
    </row>
    <row r="361" spans="1:23" x14ac:dyDescent="0.35">
      <c r="A361" s="7" t="s">
        <v>23</v>
      </c>
      <c r="B361" s="7" t="s">
        <v>1065</v>
      </c>
      <c r="C361" s="7" t="s">
        <v>134</v>
      </c>
      <c r="D361" s="8"/>
      <c r="E361" s="7" t="s">
        <v>46</v>
      </c>
      <c r="F361" s="7" t="s">
        <v>691</v>
      </c>
      <c r="G361" s="7" t="s">
        <v>48</v>
      </c>
      <c r="H361" s="7" t="s">
        <v>39</v>
      </c>
      <c r="I361" s="7" t="s">
        <v>123</v>
      </c>
      <c r="J361" s="7" t="s">
        <v>267</v>
      </c>
      <c r="K361" s="7" t="s">
        <v>1041</v>
      </c>
      <c r="L361" s="7" t="s">
        <v>691</v>
      </c>
      <c r="M361" s="7" t="s">
        <v>43</v>
      </c>
      <c r="N361" s="9" t="s">
        <v>692</v>
      </c>
      <c r="O361" s="9" t="s">
        <v>538</v>
      </c>
      <c r="P361" s="9" t="s">
        <v>34</v>
      </c>
      <c r="Q361" s="10" t="str">
        <f>IF(IDMaster[[#This Row],[Consumption]]="Consumption",IDMaster[[#This Row],[Consumption]],IDMaster[[#This Row],[Basis]])</f>
        <v>Store Count</v>
      </c>
      <c r="R361" s="7" t="str">
        <f>IDMaster[[#This Row],[Supported Group]]&amp;"."&amp;IDMaster[[#This Row],[Basis]]</f>
        <v>RAC.Store Count</v>
      </c>
      <c r="S361" s="11">
        <v>0.7087214225232854</v>
      </c>
      <c r="T361" s="12">
        <v>0.29127857747671465</v>
      </c>
      <c r="U361" s="12">
        <v>0</v>
      </c>
      <c r="V361" s="12">
        <v>0</v>
      </c>
      <c r="W361" s="12">
        <v>0</v>
      </c>
    </row>
    <row r="362" spans="1:23" x14ac:dyDescent="0.35">
      <c r="A362" s="7" t="s">
        <v>23</v>
      </c>
      <c r="B362" s="7" t="s">
        <v>1066</v>
      </c>
      <c r="C362" s="7" t="s">
        <v>1053</v>
      </c>
      <c r="D362" s="8">
        <v>309761</v>
      </c>
      <c r="E362" s="7" t="s">
        <v>46</v>
      </c>
      <c r="F362" s="7" t="s">
        <v>1053</v>
      </c>
      <c r="G362" s="7" t="s">
        <v>48</v>
      </c>
      <c r="H362" s="7" t="s">
        <v>39</v>
      </c>
      <c r="I362" s="7" t="s">
        <v>28</v>
      </c>
      <c r="J362" s="7" t="s">
        <v>267</v>
      </c>
      <c r="K362" s="7" t="s">
        <v>690</v>
      </c>
      <c r="L362" s="7" t="s">
        <v>691</v>
      </c>
      <c r="M362" s="7" t="s">
        <v>43</v>
      </c>
      <c r="N362" s="9" t="s">
        <v>32</v>
      </c>
      <c r="O362" s="9" t="s">
        <v>538</v>
      </c>
      <c r="P362" s="9" t="s">
        <v>34</v>
      </c>
      <c r="Q362" s="10" t="str">
        <f>IF(IDMaster[[#This Row],[Consumption]]="Consumption",IDMaster[[#This Row],[Consumption]],IDMaster[[#This Row],[Basis]])</f>
        <v>Revenue</v>
      </c>
      <c r="R362" s="7" t="str">
        <f>IDMaster[[#This Row],[Supported Group]]&amp;"."&amp;IDMaster[[#This Row],[Basis]]</f>
        <v>RAC.Revenue</v>
      </c>
      <c r="S362" s="11">
        <v>0.42185161428265983</v>
      </c>
      <c r="T362" s="12">
        <v>0.57814838571734017</v>
      </c>
      <c r="U362" s="12">
        <v>0</v>
      </c>
      <c r="V362" s="12">
        <v>0</v>
      </c>
      <c r="W362" s="12">
        <v>0</v>
      </c>
    </row>
    <row r="363" spans="1:23" x14ac:dyDescent="0.35">
      <c r="A363" s="7" t="s">
        <v>23</v>
      </c>
      <c r="B363" s="7" t="s">
        <v>1067</v>
      </c>
      <c r="C363" s="7" t="s">
        <v>1068</v>
      </c>
      <c r="D363" s="8">
        <v>303594</v>
      </c>
      <c r="E363" s="7" t="s">
        <v>46</v>
      </c>
      <c r="F363" s="7" t="s">
        <v>1069</v>
      </c>
      <c r="G363" s="7" t="s">
        <v>48</v>
      </c>
      <c r="H363" s="7" t="s">
        <v>39</v>
      </c>
      <c r="I363" s="7" t="s">
        <v>123</v>
      </c>
      <c r="J363" s="7" t="s">
        <v>267</v>
      </c>
      <c r="K363" s="7" t="s">
        <v>702</v>
      </c>
      <c r="L363" s="7" t="s">
        <v>691</v>
      </c>
      <c r="M363" s="7" t="s">
        <v>1070</v>
      </c>
      <c r="N363" s="9" t="s">
        <v>692</v>
      </c>
      <c r="O363" s="9" t="s">
        <v>51</v>
      </c>
      <c r="P363" s="9" t="s">
        <v>34</v>
      </c>
      <c r="Q363" s="10" t="str">
        <f>IF(IDMaster[[#This Row],[Consumption]]="Consumption",IDMaster[[#This Row],[Consumption]],IDMaster[[#This Row],[Basis]])</f>
        <v>Store Count</v>
      </c>
      <c r="R363" s="7" t="str">
        <f>IDMaster[[#This Row],[Supported Group]]&amp;"."&amp;IDMaster[[#This Row],[Basis]]</f>
        <v>IT Infrastructure.Store Count</v>
      </c>
      <c r="S363" s="11">
        <v>0.7087214225232854</v>
      </c>
      <c r="T363" s="12">
        <v>0.29127857747671465</v>
      </c>
      <c r="U363" s="12">
        <v>0</v>
      </c>
      <c r="V363" s="12">
        <v>0</v>
      </c>
      <c r="W363" s="12">
        <v>0</v>
      </c>
    </row>
    <row r="364" spans="1:23" x14ac:dyDescent="0.35">
      <c r="A364" s="7" t="s">
        <v>23</v>
      </c>
      <c r="B364" s="7" t="s">
        <v>1071</v>
      </c>
      <c r="C364" s="7" t="s">
        <v>134</v>
      </c>
      <c r="D364" s="8"/>
      <c r="E364" s="7" t="s">
        <v>46</v>
      </c>
      <c r="F364" s="7" t="s">
        <v>691</v>
      </c>
      <c r="G364" s="7" t="s">
        <v>48</v>
      </c>
      <c r="H364" s="7" t="s">
        <v>39</v>
      </c>
      <c r="I364" s="7" t="s">
        <v>123</v>
      </c>
      <c r="J364" s="7" t="s">
        <v>267</v>
      </c>
      <c r="K364" s="7" t="s">
        <v>1046</v>
      </c>
      <c r="L364" s="7" t="s">
        <v>691</v>
      </c>
      <c r="M364" s="7" t="s">
        <v>43</v>
      </c>
      <c r="N364" s="9" t="s">
        <v>692</v>
      </c>
      <c r="O364" s="9" t="s">
        <v>538</v>
      </c>
      <c r="P364" s="9" t="s">
        <v>34</v>
      </c>
      <c r="Q364" s="10" t="str">
        <f>IF(IDMaster[[#This Row],[Consumption]]="Consumption",IDMaster[[#This Row],[Consumption]],IDMaster[[#This Row],[Basis]])</f>
        <v>Store Count</v>
      </c>
      <c r="R364" s="7" t="str">
        <f>IDMaster[[#This Row],[Supported Group]]&amp;"."&amp;IDMaster[[#This Row],[Basis]]</f>
        <v>RAC.Store Count</v>
      </c>
      <c r="S364" s="11">
        <v>0.7087214225232854</v>
      </c>
      <c r="T364" s="12">
        <v>0.29127857747671465</v>
      </c>
      <c r="U364" s="12">
        <v>0</v>
      </c>
      <c r="V364" s="12">
        <v>0</v>
      </c>
      <c r="W364" s="12">
        <v>0</v>
      </c>
    </row>
    <row r="365" spans="1:23" x14ac:dyDescent="0.35">
      <c r="A365" s="7" t="s">
        <v>23</v>
      </c>
      <c r="B365" s="7" t="s">
        <v>1072</v>
      </c>
      <c r="C365" s="7" t="s">
        <v>1073</v>
      </c>
      <c r="D365" s="8">
        <v>241663</v>
      </c>
      <c r="E365" s="7" t="s">
        <v>46</v>
      </c>
      <c r="F365" s="7" t="s">
        <v>1074</v>
      </c>
      <c r="G365" s="7" t="s">
        <v>48</v>
      </c>
      <c r="H365" s="7" t="s">
        <v>39</v>
      </c>
      <c r="I365" s="7" t="s">
        <v>28</v>
      </c>
      <c r="J365" s="7" t="s">
        <v>267</v>
      </c>
      <c r="K365" s="7" t="s">
        <v>690</v>
      </c>
      <c r="L365" s="7" t="s">
        <v>691</v>
      </c>
      <c r="M365" s="7"/>
      <c r="N365" s="9" t="s">
        <v>32</v>
      </c>
      <c r="O365" s="9" t="s">
        <v>51</v>
      </c>
      <c r="P365" s="9" t="s">
        <v>34</v>
      </c>
      <c r="Q365" s="10" t="str">
        <f>IF(IDMaster[[#This Row],[Consumption]]="Consumption",IDMaster[[#This Row],[Consumption]],IDMaster[[#This Row],[Basis]])</f>
        <v>Revenue</v>
      </c>
      <c r="R365" s="7" t="str">
        <f>IDMaster[[#This Row],[Supported Group]]&amp;"."&amp;IDMaster[[#This Row],[Basis]]</f>
        <v>IT Infrastructure.Revenue</v>
      </c>
      <c r="S365" s="11">
        <v>0.42185161428265983</v>
      </c>
      <c r="T365" s="12">
        <v>0.57814838571734017</v>
      </c>
      <c r="U365" s="12">
        <v>0</v>
      </c>
      <c r="V365" s="12">
        <v>0</v>
      </c>
      <c r="W365" s="12">
        <v>0</v>
      </c>
    </row>
    <row r="366" spans="1:23" x14ac:dyDescent="0.35">
      <c r="A366" s="7" t="s">
        <v>23</v>
      </c>
      <c r="B366" s="7" t="s">
        <v>1075</v>
      </c>
      <c r="C366" s="7" t="s">
        <v>1076</v>
      </c>
      <c r="D366" s="8">
        <v>231884</v>
      </c>
      <c r="E366" s="7" t="s">
        <v>46</v>
      </c>
      <c r="F366" s="7" t="s">
        <v>1077</v>
      </c>
      <c r="G366" s="7" t="s">
        <v>48</v>
      </c>
      <c r="H366" s="7" t="s">
        <v>39</v>
      </c>
      <c r="I366" s="7" t="s">
        <v>123</v>
      </c>
      <c r="J366" s="7" t="s">
        <v>267</v>
      </c>
      <c r="K366" s="7" t="s">
        <v>1046</v>
      </c>
      <c r="L366" s="7" t="s">
        <v>691</v>
      </c>
      <c r="M366" s="7" t="s">
        <v>1078</v>
      </c>
      <c r="N366" s="9" t="s">
        <v>126</v>
      </c>
      <c r="O366" s="9" t="s">
        <v>538</v>
      </c>
      <c r="P366" s="9" t="s">
        <v>34</v>
      </c>
      <c r="Q366" s="10" t="str">
        <f>IF(IDMaster[[#This Row],[Consumption]]="Consumption",IDMaster[[#This Row],[Consumption]],IDMaster[[#This Row],[Basis]])</f>
        <v>RAC Direct</v>
      </c>
      <c r="R366" s="7" t="str">
        <f>IDMaster[[#This Row],[Supported Group]]&amp;"."&amp;IDMaster[[#This Row],[Basis]]</f>
        <v>RAC.RAC Direct</v>
      </c>
      <c r="S366" s="11">
        <v>1</v>
      </c>
      <c r="T366" s="12">
        <v>0</v>
      </c>
      <c r="U366" s="12">
        <v>0</v>
      </c>
      <c r="V366" s="12">
        <v>0</v>
      </c>
      <c r="W366" s="12">
        <v>0</v>
      </c>
    </row>
    <row r="367" spans="1:23" x14ac:dyDescent="0.35">
      <c r="A367" s="7" t="s">
        <v>23</v>
      </c>
      <c r="B367" s="7" t="s">
        <v>1079</v>
      </c>
      <c r="C367" s="7" t="s">
        <v>134</v>
      </c>
      <c r="D367" s="8"/>
      <c r="E367" s="7" t="s">
        <v>46</v>
      </c>
      <c r="F367" s="7" t="s">
        <v>691</v>
      </c>
      <c r="G367" s="7" t="s">
        <v>48</v>
      </c>
      <c r="H367" s="7" t="s">
        <v>39</v>
      </c>
      <c r="I367" s="7" t="s">
        <v>123</v>
      </c>
      <c r="J367" s="7" t="s">
        <v>267</v>
      </c>
      <c r="K367" s="7" t="s">
        <v>702</v>
      </c>
      <c r="L367" s="7" t="s">
        <v>691</v>
      </c>
      <c r="M367" s="7" t="s">
        <v>43</v>
      </c>
      <c r="N367" s="9" t="s">
        <v>692</v>
      </c>
      <c r="O367" s="9" t="s">
        <v>538</v>
      </c>
      <c r="P367" s="9" t="s">
        <v>34</v>
      </c>
      <c r="Q367" s="10" t="str">
        <f>IF(IDMaster[[#This Row],[Consumption]]="Consumption",IDMaster[[#This Row],[Consumption]],IDMaster[[#This Row],[Basis]])</f>
        <v>Store Count</v>
      </c>
      <c r="R367" s="7" t="str">
        <f>IDMaster[[#This Row],[Supported Group]]&amp;"."&amp;IDMaster[[#This Row],[Basis]]</f>
        <v>RAC.Store Count</v>
      </c>
      <c r="S367" s="11">
        <v>0.7087214225232854</v>
      </c>
      <c r="T367" s="12">
        <v>0.29127857747671465</v>
      </c>
      <c r="U367" s="12">
        <v>0</v>
      </c>
      <c r="V367" s="12">
        <v>0</v>
      </c>
      <c r="W367" s="12">
        <v>0</v>
      </c>
    </row>
    <row r="368" spans="1:23" x14ac:dyDescent="0.35">
      <c r="A368" s="7" t="s">
        <v>23</v>
      </c>
      <c r="B368" s="7" t="s">
        <v>1080</v>
      </c>
      <c r="C368" s="7" t="s">
        <v>1081</v>
      </c>
      <c r="D368" s="8">
        <v>176326</v>
      </c>
      <c r="E368" s="7" t="s">
        <v>46</v>
      </c>
      <c r="F368" s="7" t="s">
        <v>1082</v>
      </c>
      <c r="G368" s="7" t="s">
        <v>48</v>
      </c>
      <c r="H368" s="7" t="s">
        <v>39</v>
      </c>
      <c r="I368" s="7" t="s">
        <v>123</v>
      </c>
      <c r="J368" s="7" t="s">
        <v>267</v>
      </c>
      <c r="K368" s="7" t="s">
        <v>690</v>
      </c>
      <c r="L368" s="7" t="s">
        <v>691</v>
      </c>
      <c r="M368" s="7" t="s">
        <v>1083</v>
      </c>
      <c r="N368" s="9" t="s">
        <v>692</v>
      </c>
      <c r="O368" s="9" t="s">
        <v>538</v>
      </c>
      <c r="P368" s="9" t="s">
        <v>34</v>
      </c>
      <c r="Q368" s="10" t="str">
        <f>IF(IDMaster[[#This Row],[Consumption]]="Consumption",IDMaster[[#This Row],[Consumption]],IDMaster[[#This Row],[Basis]])</f>
        <v>Store Count</v>
      </c>
      <c r="R368" s="7" t="str">
        <f>IDMaster[[#This Row],[Supported Group]]&amp;"."&amp;IDMaster[[#This Row],[Basis]]</f>
        <v>RAC.Store Count</v>
      </c>
      <c r="S368" s="11">
        <v>0.7087214225232854</v>
      </c>
      <c r="T368" s="12">
        <v>0.29127857747671465</v>
      </c>
      <c r="U368" s="12">
        <v>0</v>
      </c>
      <c r="V368" s="12">
        <v>0</v>
      </c>
      <c r="W368" s="12">
        <v>0</v>
      </c>
    </row>
    <row r="369" spans="1:23" x14ac:dyDescent="0.35">
      <c r="A369" s="7" t="s">
        <v>23</v>
      </c>
      <c r="B369" s="7" t="s">
        <v>1084</v>
      </c>
      <c r="C369" s="7" t="s">
        <v>134</v>
      </c>
      <c r="D369" s="8"/>
      <c r="E369" s="7" t="s">
        <v>46</v>
      </c>
      <c r="F369" s="7" t="s">
        <v>691</v>
      </c>
      <c r="G369" s="7" t="s">
        <v>48</v>
      </c>
      <c r="H369" s="7" t="s">
        <v>39</v>
      </c>
      <c r="I369" s="7" t="s">
        <v>123</v>
      </c>
      <c r="J369" s="7" t="s">
        <v>267</v>
      </c>
      <c r="K369" s="7" t="s">
        <v>695</v>
      </c>
      <c r="L369" s="7" t="s">
        <v>691</v>
      </c>
      <c r="M369" s="7" t="s">
        <v>43</v>
      </c>
      <c r="N369" s="9" t="s">
        <v>692</v>
      </c>
      <c r="O369" s="9" t="s">
        <v>538</v>
      </c>
      <c r="P369" s="9" t="s">
        <v>34</v>
      </c>
      <c r="Q369" s="10" t="str">
        <f>IF(IDMaster[[#This Row],[Consumption]]="Consumption",IDMaster[[#This Row],[Consumption]],IDMaster[[#This Row],[Basis]])</f>
        <v>Store Count</v>
      </c>
      <c r="R369" s="7" t="str">
        <f>IDMaster[[#This Row],[Supported Group]]&amp;"."&amp;IDMaster[[#This Row],[Basis]]</f>
        <v>RAC.Store Count</v>
      </c>
      <c r="S369" s="11">
        <v>0.7087214225232854</v>
      </c>
      <c r="T369" s="12">
        <v>0.29127857747671465</v>
      </c>
      <c r="U369" s="12">
        <v>0</v>
      </c>
      <c r="V369" s="12">
        <v>0</v>
      </c>
      <c r="W369" s="12">
        <v>0</v>
      </c>
    </row>
    <row r="370" spans="1:23" x14ac:dyDescent="0.35">
      <c r="A370" s="7" t="s">
        <v>23</v>
      </c>
      <c r="B370" s="7" t="s">
        <v>1085</v>
      </c>
      <c r="C370" s="7" t="s">
        <v>1086</v>
      </c>
      <c r="D370" s="8">
        <v>294774</v>
      </c>
      <c r="E370" s="7" t="s">
        <v>46</v>
      </c>
      <c r="F370" s="7" t="s">
        <v>1087</v>
      </c>
      <c r="G370" s="7" t="s">
        <v>48</v>
      </c>
      <c r="H370" s="7" t="s">
        <v>39</v>
      </c>
      <c r="I370" s="7" t="s">
        <v>123</v>
      </c>
      <c r="J370" s="7" t="s">
        <v>267</v>
      </c>
      <c r="K370" s="7" t="s">
        <v>690</v>
      </c>
      <c r="L370" s="7" t="s">
        <v>691</v>
      </c>
      <c r="M370" s="7" t="s">
        <v>1088</v>
      </c>
      <c r="N370" s="9" t="s">
        <v>692</v>
      </c>
      <c r="O370" s="9" t="s">
        <v>51</v>
      </c>
      <c r="P370" s="9" t="s">
        <v>34</v>
      </c>
      <c r="Q370" s="10" t="str">
        <f>IF(IDMaster[[#This Row],[Consumption]]="Consumption",IDMaster[[#This Row],[Consumption]],IDMaster[[#This Row],[Basis]])</f>
        <v>Store Count</v>
      </c>
      <c r="R370" s="7" t="str">
        <f>IDMaster[[#This Row],[Supported Group]]&amp;"."&amp;IDMaster[[#This Row],[Basis]]</f>
        <v>IT Infrastructure.Store Count</v>
      </c>
      <c r="S370" s="11">
        <v>0.7087214225232854</v>
      </c>
      <c r="T370" s="12">
        <v>0.29127857747671465</v>
      </c>
      <c r="U370" s="12">
        <v>0</v>
      </c>
      <c r="V370" s="12">
        <v>0</v>
      </c>
      <c r="W370" s="12">
        <v>0</v>
      </c>
    </row>
    <row r="371" spans="1:23" x14ac:dyDescent="0.35">
      <c r="A371" s="7" t="s">
        <v>23</v>
      </c>
      <c r="B371" s="7" t="s">
        <v>1089</v>
      </c>
      <c r="C371" s="7" t="s">
        <v>1090</v>
      </c>
      <c r="D371" s="8">
        <v>305557</v>
      </c>
      <c r="E371" s="7" t="s">
        <v>46</v>
      </c>
      <c r="F371" s="7" t="s">
        <v>1091</v>
      </c>
      <c r="G371" s="7" t="s">
        <v>48</v>
      </c>
      <c r="H371" s="7" t="s">
        <v>39</v>
      </c>
      <c r="I371" s="7" t="s">
        <v>123</v>
      </c>
      <c r="J371" s="7" t="s">
        <v>267</v>
      </c>
      <c r="K371" s="7" t="s">
        <v>1046</v>
      </c>
      <c r="L371" s="7" t="s">
        <v>691</v>
      </c>
      <c r="M371" s="7" t="s">
        <v>1092</v>
      </c>
      <c r="N371" s="9" t="s">
        <v>692</v>
      </c>
      <c r="O371" s="9" t="s">
        <v>538</v>
      </c>
      <c r="P371" s="9" t="s">
        <v>34</v>
      </c>
      <c r="Q371" s="10" t="str">
        <f>IF(IDMaster[[#This Row],[Consumption]]="Consumption",IDMaster[[#This Row],[Consumption]],IDMaster[[#This Row],[Basis]])</f>
        <v>Store Count</v>
      </c>
      <c r="R371" s="7" t="str">
        <f>IDMaster[[#This Row],[Supported Group]]&amp;"."&amp;IDMaster[[#This Row],[Basis]]</f>
        <v>RAC.Store Count</v>
      </c>
      <c r="S371" s="11">
        <v>0.7087214225232854</v>
      </c>
      <c r="T371" s="12">
        <v>0.29127857747671465</v>
      </c>
      <c r="U371" s="12">
        <v>0</v>
      </c>
      <c r="V371" s="12">
        <v>0</v>
      </c>
      <c r="W371" s="12">
        <v>0</v>
      </c>
    </row>
    <row r="372" spans="1:23" x14ac:dyDescent="0.35">
      <c r="A372" s="7" t="s">
        <v>23</v>
      </c>
      <c r="B372" s="7" t="s">
        <v>1093</v>
      </c>
      <c r="C372" s="7" t="s">
        <v>911</v>
      </c>
      <c r="D372" s="8">
        <v>78398</v>
      </c>
      <c r="E372" s="7" t="s">
        <v>46</v>
      </c>
      <c r="F372" s="7" t="s">
        <v>911</v>
      </c>
      <c r="G372" s="7" t="s">
        <v>48</v>
      </c>
      <c r="H372" s="7" t="s">
        <v>39</v>
      </c>
      <c r="I372" s="7" t="s">
        <v>123</v>
      </c>
      <c r="J372" s="7" t="s">
        <v>267</v>
      </c>
      <c r="K372" s="7" t="s">
        <v>690</v>
      </c>
      <c r="L372" s="7" t="s">
        <v>691</v>
      </c>
      <c r="M372" s="7" t="s">
        <v>1094</v>
      </c>
      <c r="N372" s="9" t="s">
        <v>692</v>
      </c>
      <c r="O372" s="9" t="s">
        <v>51</v>
      </c>
      <c r="P372" s="9" t="s">
        <v>34</v>
      </c>
      <c r="Q372" s="10" t="str">
        <f>IF(IDMaster[[#This Row],[Consumption]]="Consumption",IDMaster[[#This Row],[Consumption]],IDMaster[[#This Row],[Basis]])</f>
        <v>Store Count</v>
      </c>
      <c r="R372" s="7" t="str">
        <f>IDMaster[[#This Row],[Supported Group]]&amp;"."&amp;IDMaster[[#This Row],[Basis]]</f>
        <v>IT Infrastructure.Store Count</v>
      </c>
      <c r="S372" s="11">
        <v>0.7087214225232854</v>
      </c>
      <c r="T372" s="12">
        <v>0.29127857747671465</v>
      </c>
      <c r="U372" s="12">
        <v>0</v>
      </c>
      <c r="V372" s="12">
        <v>0</v>
      </c>
      <c r="W372" s="12">
        <v>0</v>
      </c>
    </row>
    <row r="373" spans="1:23" x14ac:dyDescent="0.35">
      <c r="A373" s="7" t="s">
        <v>23</v>
      </c>
      <c r="B373" s="7" t="s">
        <v>1095</v>
      </c>
      <c r="C373" s="7" t="s">
        <v>329</v>
      </c>
      <c r="D373" s="8">
        <v>207712</v>
      </c>
      <c r="E373" s="7" t="s">
        <v>46</v>
      </c>
      <c r="F373" s="7" t="s">
        <v>1096</v>
      </c>
      <c r="G373" s="7" t="s">
        <v>48</v>
      </c>
      <c r="H373" s="7" t="s">
        <v>39</v>
      </c>
      <c r="I373" s="7" t="s">
        <v>28</v>
      </c>
      <c r="J373" s="7" t="s">
        <v>267</v>
      </c>
      <c r="K373" s="7" t="s">
        <v>695</v>
      </c>
      <c r="L373" s="7" t="s">
        <v>691</v>
      </c>
      <c r="M373" s="7" t="s">
        <v>1097</v>
      </c>
      <c r="N373" s="9" t="s">
        <v>32</v>
      </c>
      <c r="O373" s="9" t="s">
        <v>538</v>
      </c>
      <c r="P373" s="9" t="s">
        <v>34</v>
      </c>
      <c r="Q373" s="10" t="str">
        <f>IF(IDMaster[[#This Row],[Consumption]]="Consumption",IDMaster[[#This Row],[Consumption]],IDMaster[[#This Row],[Basis]])</f>
        <v>Revenue</v>
      </c>
      <c r="R373" s="7" t="str">
        <f>IDMaster[[#This Row],[Supported Group]]&amp;"."&amp;IDMaster[[#This Row],[Basis]]</f>
        <v>RAC.Revenue</v>
      </c>
      <c r="S373" s="11">
        <v>0.42185161428265983</v>
      </c>
      <c r="T373" s="12">
        <v>0.57814838571734017</v>
      </c>
      <c r="U373" s="12">
        <v>0</v>
      </c>
      <c r="V373" s="12">
        <v>0</v>
      </c>
      <c r="W373" s="12">
        <v>0</v>
      </c>
    </row>
    <row r="374" spans="1:23" x14ac:dyDescent="0.35">
      <c r="A374" s="7" t="s">
        <v>23</v>
      </c>
      <c r="B374" s="7" t="s">
        <v>1098</v>
      </c>
      <c r="C374" s="7" t="s">
        <v>1068</v>
      </c>
      <c r="D374" s="8">
        <v>304482</v>
      </c>
      <c r="E374" s="7" t="s">
        <v>46</v>
      </c>
      <c r="F374" s="7" t="s">
        <v>1099</v>
      </c>
      <c r="G374" s="7" t="s">
        <v>48</v>
      </c>
      <c r="H374" s="7" t="s">
        <v>39</v>
      </c>
      <c r="I374" s="7" t="s">
        <v>123</v>
      </c>
      <c r="J374" s="7" t="s">
        <v>267</v>
      </c>
      <c r="K374" s="7" t="s">
        <v>690</v>
      </c>
      <c r="L374" s="7" t="s">
        <v>691</v>
      </c>
      <c r="M374" s="7" t="s">
        <v>1100</v>
      </c>
      <c r="N374" s="9" t="s">
        <v>692</v>
      </c>
      <c r="O374" s="9" t="s">
        <v>51</v>
      </c>
      <c r="P374" s="9" t="s">
        <v>34</v>
      </c>
      <c r="Q374" s="10" t="str">
        <f>IF(IDMaster[[#This Row],[Consumption]]="Consumption",IDMaster[[#This Row],[Consumption]],IDMaster[[#This Row],[Basis]])</f>
        <v>Store Count</v>
      </c>
      <c r="R374" s="7" t="str">
        <f>IDMaster[[#This Row],[Supported Group]]&amp;"."&amp;IDMaster[[#This Row],[Basis]]</f>
        <v>IT Infrastructure.Store Count</v>
      </c>
      <c r="S374" s="11">
        <v>0.7087214225232854</v>
      </c>
      <c r="T374" s="12">
        <v>0.29127857747671465</v>
      </c>
      <c r="U374" s="12">
        <v>0</v>
      </c>
      <c r="V374" s="12">
        <v>0</v>
      </c>
      <c r="W374" s="12">
        <v>0</v>
      </c>
    </row>
    <row r="375" spans="1:23" x14ac:dyDescent="0.35">
      <c r="A375" s="7" t="s">
        <v>23</v>
      </c>
      <c r="B375" s="7" t="s">
        <v>1101</v>
      </c>
      <c r="C375" s="7" t="s">
        <v>1068</v>
      </c>
      <c r="D375" s="8">
        <v>303594</v>
      </c>
      <c r="E375" s="7" t="s">
        <v>46</v>
      </c>
      <c r="F375" s="7" t="s">
        <v>1068</v>
      </c>
      <c r="G375" s="7" t="s">
        <v>48</v>
      </c>
      <c r="H375" s="7" t="s">
        <v>39</v>
      </c>
      <c r="I375" s="7" t="s">
        <v>123</v>
      </c>
      <c r="J375" s="7" t="s">
        <v>267</v>
      </c>
      <c r="K375" s="7" t="s">
        <v>690</v>
      </c>
      <c r="L375" s="7" t="s">
        <v>691</v>
      </c>
      <c r="M375" s="7" t="s">
        <v>1070</v>
      </c>
      <c r="N375" s="9" t="s">
        <v>692</v>
      </c>
      <c r="O375" s="9" t="s">
        <v>51</v>
      </c>
      <c r="P375" s="9" t="s">
        <v>34</v>
      </c>
      <c r="Q375" s="10" t="str">
        <f>IF(IDMaster[[#This Row],[Consumption]]="Consumption",IDMaster[[#This Row],[Consumption]],IDMaster[[#This Row],[Basis]])</f>
        <v>Store Count</v>
      </c>
      <c r="R375" s="7" t="str">
        <f>IDMaster[[#This Row],[Supported Group]]&amp;"."&amp;IDMaster[[#This Row],[Basis]]</f>
        <v>IT Infrastructure.Store Count</v>
      </c>
      <c r="S375" s="11">
        <v>0.7087214225232854</v>
      </c>
      <c r="T375" s="12">
        <v>0.29127857747671465</v>
      </c>
      <c r="U375" s="12">
        <v>0</v>
      </c>
      <c r="V375" s="12">
        <v>0</v>
      </c>
      <c r="W375" s="12">
        <v>0</v>
      </c>
    </row>
    <row r="376" spans="1:23" x14ac:dyDescent="0.35">
      <c r="A376" s="7" t="s">
        <v>23</v>
      </c>
      <c r="B376" s="7" t="s">
        <v>1102</v>
      </c>
      <c r="C376" s="7" t="s">
        <v>1103</v>
      </c>
      <c r="D376" s="8">
        <v>366835</v>
      </c>
      <c r="E376" s="7" t="s">
        <v>46</v>
      </c>
      <c r="F376" s="7" t="s">
        <v>1103</v>
      </c>
      <c r="G376" s="7" t="s">
        <v>48</v>
      </c>
      <c r="H376" s="7" t="s">
        <v>39</v>
      </c>
      <c r="I376" s="7" t="s">
        <v>123</v>
      </c>
      <c r="J376" s="7" t="s">
        <v>267</v>
      </c>
      <c r="K376" s="7" t="s">
        <v>690</v>
      </c>
      <c r="L376" s="7" t="s">
        <v>691</v>
      </c>
      <c r="M376" s="7" t="s">
        <v>1104</v>
      </c>
      <c r="N376" s="9" t="s">
        <v>692</v>
      </c>
      <c r="O376" s="9" t="s">
        <v>538</v>
      </c>
      <c r="P376" s="9" t="s">
        <v>34</v>
      </c>
      <c r="Q376" s="10" t="str">
        <f>IF(IDMaster[[#This Row],[Consumption]]="Consumption",IDMaster[[#This Row],[Consumption]],IDMaster[[#This Row],[Basis]])</f>
        <v>Store Count</v>
      </c>
      <c r="R376" s="7" t="str">
        <f>IDMaster[[#This Row],[Supported Group]]&amp;"."&amp;IDMaster[[#This Row],[Basis]]</f>
        <v>RAC.Store Count</v>
      </c>
      <c r="S376" s="11">
        <v>0.7087214225232854</v>
      </c>
      <c r="T376" s="12">
        <v>0.29127857747671465</v>
      </c>
      <c r="U376" s="12">
        <v>0</v>
      </c>
      <c r="V376" s="12">
        <v>0</v>
      </c>
      <c r="W376" s="12">
        <v>0</v>
      </c>
    </row>
    <row r="377" spans="1:23" x14ac:dyDescent="0.35">
      <c r="A377" s="7" t="s">
        <v>23</v>
      </c>
      <c r="B377" s="7" t="s">
        <v>1105</v>
      </c>
      <c r="C377" s="7" t="s">
        <v>1081</v>
      </c>
      <c r="D377" s="8">
        <v>176326</v>
      </c>
      <c r="E377" s="7" t="s">
        <v>46</v>
      </c>
      <c r="F377" s="7" t="s">
        <v>1106</v>
      </c>
      <c r="G377" s="7" t="s">
        <v>48</v>
      </c>
      <c r="H377" s="7" t="s">
        <v>39</v>
      </c>
      <c r="I377" s="7" t="s">
        <v>123</v>
      </c>
      <c r="J377" s="7" t="s">
        <v>267</v>
      </c>
      <c r="K377" s="7" t="s">
        <v>690</v>
      </c>
      <c r="L377" s="7" t="s">
        <v>691</v>
      </c>
      <c r="M377" s="7" t="s">
        <v>1107</v>
      </c>
      <c r="N377" s="9" t="s">
        <v>692</v>
      </c>
      <c r="O377" s="9" t="s">
        <v>538</v>
      </c>
      <c r="P377" s="9" t="s">
        <v>34</v>
      </c>
      <c r="Q377" s="10" t="str">
        <f>IF(IDMaster[[#This Row],[Consumption]]="Consumption",IDMaster[[#This Row],[Consumption]],IDMaster[[#This Row],[Basis]])</f>
        <v>Store Count</v>
      </c>
      <c r="R377" s="7" t="str">
        <f>IDMaster[[#This Row],[Supported Group]]&amp;"."&amp;IDMaster[[#This Row],[Basis]]</f>
        <v>RAC.Store Count</v>
      </c>
      <c r="S377" s="11">
        <v>0.7087214225232854</v>
      </c>
      <c r="T377" s="12">
        <v>0.29127857747671465</v>
      </c>
      <c r="U377" s="12">
        <v>0</v>
      </c>
      <c r="V377" s="12">
        <v>0</v>
      </c>
      <c r="W377" s="12">
        <v>0</v>
      </c>
    </row>
    <row r="378" spans="1:23" x14ac:dyDescent="0.35">
      <c r="A378" s="7" t="s">
        <v>23</v>
      </c>
      <c r="B378" s="7" t="s">
        <v>1108</v>
      </c>
      <c r="C378" s="7" t="s">
        <v>1109</v>
      </c>
      <c r="D378" s="8">
        <v>370236</v>
      </c>
      <c r="E378" s="7" t="s">
        <v>150</v>
      </c>
      <c r="F378" s="7" t="s">
        <v>1110</v>
      </c>
      <c r="G378" s="7" t="s">
        <v>152</v>
      </c>
      <c r="H378" s="7" t="s">
        <v>27</v>
      </c>
      <c r="I378" s="7" t="s">
        <v>123</v>
      </c>
      <c r="J378" s="7" t="s">
        <v>40</v>
      </c>
      <c r="K378" s="7" t="s">
        <v>80</v>
      </c>
      <c r="L378" s="7" t="s">
        <v>42</v>
      </c>
      <c r="M378" s="7" t="s">
        <v>1111</v>
      </c>
      <c r="N378" s="9" t="s">
        <v>32</v>
      </c>
      <c r="O378" s="9" t="s">
        <v>574</v>
      </c>
      <c r="P378" s="14" t="s">
        <v>34</v>
      </c>
      <c r="Q378" s="10" t="str">
        <f>IF(IDMaster[[#This Row],[Consumption]]="Consumption",IDMaster[[#This Row],[Consumption]],IDMaster[[#This Row],[Basis]])</f>
        <v>Revenue</v>
      </c>
      <c r="R378" s="7" t="str">
        <f>IDMaster[[#This Row],[Supported Group]]&amp;"."&amp;IDMaster[[#This Row],[Basis]]</f>
        <v>Marketing.Revenue</v>
      </c>
      <c r="S378" s="11">
        <v>0.42185161428265983</v>
      </c>
      <c r="T378" s="12">
        <v>0.57814838571734017</v>
      </c>
      <c r="U378" s="12">
        <v>0</v>
      </c>
      <c r="V378" s="12">
        <v>0</v>
      </c>
      <c r="W378" s="12">
        <v>0</v>
      </c>
    </row>
    <row r="379" spans="1:23" x14ac:dyDescent="0.35">
      <c r="A379" s="7" t="s">
        <v>23</v>
      </c>
      <c r="B379" s="7" t="s">
        <v>1112</v>
      </c>
      <c r="C379" s="7" t="s">
        <v>1113</v>
      </c>
      <c r="D379" s="8">
        <v>277100</v>
      </c>
      <c r="E379" s="7" t="s">
        <v>46</v>
      </c>
      <c r="F379" s="7" t="s">
        <v>1114</v>
      </c>
      <c r="G379" s="7" t="s">
        <v>48</v>
      </c>
      <c r="H379" s="7" t="s">
        <v>27</v>
      </c>
      <c r="I379" s="7" t="s">
        <v>28</v>
      </c>
      <c r="J379" s="7" t="s">
        <v>40</v>
      </c>
      <c r="K379" s="7" t="s">
        <v>978</v>
      </c>
      <c r="L379" s="7" t="s">
        <v>631</v>
      </c>
      <c r="M379" s="7" t="s">
        <v>1115</v>
      </c>
      <c r="N379" s="9" t="s">
        <v>32</v>
      </c>
      <c r="O379" s="9" t="s">
        <v>407</v>
      </c>
      <c r="P379" s="9" t="s">
        <v>34</v>
      </c>
      <c r="Q379" s="10" t="str">
        <f>IF(IDMaster[[#This Row],[Consumption]]="Consumption",IDMaster[[#This Row],[Consumption]],IDMaster[[#This Row],[Basis]])</f>
        <v>Revenue</v>
      </c>
      <c r="R379" s="7" t="str">
        <f>IDMaster[[#This Row],[Supported Group]]&amp;"."&amp;IDMaster[[#This Row],[Basis]]</f>
        <v>IT Dev Tools.Revenue</v>
      </c>
      <c r="S379" s="11">
        <v>0.42185161428265983</v>
      </c>
      <c r="T379" s="12">
        <v>0.57814838571734017</v>
      </c>
      <c r="U379" s="12">
        <v>0</v>
      </c>
      <c r="V379" s="12">
        <v>0</v>
      </c>
      <c r="W379" s="12">
        <v>0</v>
      </c>
    </row>
    <row r="380" spans="1:23" x14ac:dyDescent="0.35">
      <c r="A380" s="7" t="s">
        <v>23</v>
      </c>
      <c r="B380" s="7" t="s">
        <v>1116</v>
      </c>
      <c r="C380" s="7" t="s">
        <v>1117</v>
      </c>
      <c r="D380" s="8">
        <v>361952</v>
      </c>
      <c r="E380" s="7" t="s">
        <v>46</v>
      </c>
      <c r="F380" s="7" t="s">
        <v>1118</v>
      </c>
      <c r="G380" s="7" t="s">
        <v>48</v>
      </c>
      <c r="H380" s="7" t="s">
        <v>27</v>
      </c>
      <c r="I380" s="7" t="s">
        <v>28</v>
      </c>
      <c r="J380" s="7" t="s">
        <v>137</v>
      </c>
      <c r="K380" s="7" t="s">
        <v>63</v>
      </c>
      <c r="L380" s="7" t="s">
        <v>30</v>
      </c>
      <c r="M380" s="7" t="s">
        <v>1119</v>
      </c>
      <c r="N380" s="9" t="s">
        <v>32</v>
      </c>
      <c r="O380" s="9" t="s">
        <v>195</v>
      </c>
      <c r="P380" s="9" t="s">
        <v>34</v>
      </c>
      <c r="Q380" s="10" t="str">
        <f>IF(IDMaster[[#This Row],[Consumption]]="Consumption",IDMaster[[#This Row],[Consumption]],IDMaster[[#This Row],[Basis]])</f>
        <v>Revenue</v>
      </c>
      <c r="R380" s="7" t="str">
        <f>IDMaster[[#This Row],[Supported Group]]&amp;"."&amp;IDMaster[[#This Row],[Basis]]</f>
        <v>External Labor.Revenue</v>
      </c>
      <c r="S380" s="11">
        <v>0.42185161428265983</v>
      </c>
      <c r="T380" s="12">
        <v>0.57814838571734017</v>
      </c>
      <c r="U380" s="12">
        <v>0</v>
      </c>
      <c r="V380" s="12">
        <v>0</v>
      </c>
      <c r="W380" s="12">
        <v>0</v>
      </c>
    </row>
    <row r="381" spans="1:23" x14ac:dyDescent="0.35">
      <c r="A381" s="7" t="s">
        <v>23</v>
      </c>
      <c r="B381" s="7" t="s">
        <v>1120</v>
      </c>
      <c r="C381" s="7" t="s">
        <v>1121</v>
      </c>
      <c r="D381" s="8">
        <v>304391</v>
      </c>
      <c r="E381" s="7" t="s">
        <v>584</v>
      </c>
      <c r="F381" s="7" t="s">
        <v>1121</v>
      </c>
      <c r="G381" s="7" t="s">
        <v>48</v>
      </c>
      <c r="H381" s="7" t="s">
        <v>27</v>
      </c>
      <c r="I381" s="7" t="s">
        <v>28</v>
      </c>
      <c r="J381" s="7" t="s">
        <v>40</v>
      </c>
      <c r="K381" s="7" t="s">
        <v>63</v>
      </c>
      <c r="L381" s="7" t="s">
        <v>30</v>
      </c>
      <c r="M381" s="7" t="s">
        <v>43</v>
      </c>
      <c r="N381" s="9" t="s">
        <v>32</v>
      </c>
      <c r="O381" s="9" t="s">
        <v>67</v>
      </c>
      <c r="P381" s="9" t="s">
        <v>34</v>
      </c>
      <c r="Q381" s="10" t="str">
        <f>IF(IDMaster[[#This Row],[Consumption]]="Consumption",IDMaster[[#This Row],[Consumption]],IDMaster[[#This Row],[Basis]])</f>
        <v>Revenue</v>
      </c>
      <c r="R381" s="7" t="str">
        <f>IDMaster[[#This Row],[Supported Group]]&amp;"."&amp;IDMaster[[#This Row],[Basis]]</f>
        <v>IT Corporate.Revenue</v>
      </c>
      <c r="S381" s="11">
        <v>0.42185161428265983</v>
      </c>
      <c r="T381" s="12">
        <v>0.57814838571734017</v>
      </c>
      <c r="U381" s="12">
        <v>0</v>
      </c>
      <c r="V381" s="12">
        <v>0</v>
      </c>
      <c r="W381" s="12">
        <v>0</v>
      </c>
    </row>
    <row r="382" spans="1:23" x14ac:dyDescent="0.35">
      <c r="A382" s="7" t="s">
        <v>23</v>
      </c>
      <c r="B382" s="7" t="s">
        <v>1122</v>
      </c>
      <c r="C382" s="7" t="s">
        <v>1123</v>
      </c>
      <c r="D382" s="8">
        <v>298763</v>
      </c>
      <c r="E382" s="7" t="s">
        <v>295</v>
      </c>
      <c r="F382" s="7" t="s">
        <v>1124</v>
      </c>
      <c r="G382" s="7" t="s">
        <v>48</v>
      </c>
      <c r="H382" s="7" t="s">
        <v>27</v>
      </c>
      <c r="I382" s="7" t="s">
        <v>28</v>
      </c>
      <c r="J382" s="7" t="s">
        <v>62</v>
      </c>
      <c r="K382" s="7" t="s">
        <v>63</v>
      </c>
      <c r="L382" s="7" t="s">
        <v>30</v>
      </c>
      <c r="M382" s="7" t="s">
        <v>1125</v>
      </c>
      <c r="N382" s="9" t="s">
        <v>32</v>
      </c>
      <c r="O382" s="9" t="s">
        <v>64</v>
      </c>
      <c r="P382" s="9" t="s">
        <v>34</v>
      </c>
      <c r="Q382" s="10" t="str">
        <f>IF(IDMaster[[#This Row],[Consumption]]="Consumption",IDMaster[[#This Row],[Consumption]],IDMaster[[#This Row],[Basis]])</f>
        <v>Revenue</v>
      </c>
      <c r="R382" s="7" t="str">
        <f>IDMaster[[#This Row],[Supported Group]]&amp;"."&amp;IDMaster[[#This Row],[Basis]]</f>
        <v>Support.Revenue</v>
      </c>
      <c r="S382" s="11">
        <v>0.42185161428265983</v>
      </c>
      <c r="T382" s="12">
        <v>0.57814838571734017</v>
      </c>
      <c r="U382" s="12">
        <v>0</v>
      </c>
      <c r="V382" s="12">
        <v>0</v>
      </c>
      <c r="W382" s="12">
        <v>0</v>
      </c>
    </row>
    <row r="383" spans="1:23" x14ac:dyDescent="0.35">
      <c r="A383" s="7" t="s">
        <v>23</v>
      </c>
      <c r="B383" s="7" t="s">
        <v>1126</v>
      </c>
      <c r="C383" s="7" t="s">
        <v>329</v>
      </c>
      <c r="D383" s="8">
        <v>207712</v>
      </c>
      <c r="E383" s="7" t="s">
        <v>46</v>
      </c>
      <c r="F383" s="7" t="s">
        <v>1127</v>
      </c>
      <c r="G383" s="7" t="s">
        <v>48</v>
      </c>
      <c r="H383" s="7" t="s">
        <v>27</v>
      </c>
      <c r="I383" s="7" t="s">
        <v>28</v>
      </c>
      <c r="J383" s="7" t="s">
        <v>267</v>
      </c>
      <c r="K383" s="7" t="s">
        <v>695</v>
      </c>
      <c r="L383" s="7" t="s">
        <v>691</v>
      </c>
      <c r="M383" s="7" t="s">
        <v>1128</v>
      </c>
      <c r="N383" s="9" t="s">
        <v>32</v>
      </c>
      <c r="O383" s="9" t="s">
        <v>51</v>
      </c>
      <c r="P383" s="9" t="s">
        <v>34</v>
      </c>
      <c r="Q383" s="10" t="str">
        <f>IF(IDMaster[[#This Row],[Consumption]]="Consumption",IDMaster[[#This Row],[Consumption]],IDMaster[[#This Row],[Basis]])</f>
        <v>Revenue</v>
      </c>
      <c r="R383" s="7" t="str">
        <f>IDMaster[[#This Row],[Supported Group]]&amp;"."&amp;IDMaster[[#This Row],[Basis]]</f>
        <v>IT Infrastructure.Revenue</v>
      </c>
      <c r="S383" s="11">
        <v>0.42185161428265983</v>
      </c>
      <c r="T383" s="12">
        <v>0.57814838571734017</v>
      </c>
      <c r="U383" s="12">
        <v>0</v>
      </c>
      <c r="V383" s="12">
        <v>0</v>
      </c>
      <c r="W383" s="12">
        <v>0</v>
      </c>
    </row>
    <row r="384" spans="1:23" x14ac:dyDescent="0.35">
      <c r="A384" s="7" t="s">
        <v>23</v>
      </c>
      <c r="B384" s="7" t="s">
        <v>1129</v>
      </c>
      <c r="C384" s="7" t="s">
        <v>290</v>
      </c>
      <c r="D384" s="8">
        <v>317598</v>
      </c>
      <c r="E384" s="7" t="s">
        <v>70</v>
      </c>
      <c r="F384" s="7" t="s">
        <v>1130</v>
      </c>
      <c r="G384" s="7" t="s">
        <v>72</v>
      </c>
      <c r="H384" s="7" t="s">
        <v>27</v>
      </c>
      <c r="I384" s="7" t="s">
        <v>28</v>
      </c>
      <c r="J384" s="7" t="s">
        <v>62</v>
      </c>
      <c r="K384" s="7" t="s">
        <v>63</v>
      </c>
      <c r="L384" s="7" t="s">
        <v>30</v>
      </c>
      <c r="M384" s="7" t="s">
        <v>1131</v>
      </c>
      <c r="N384" s="9" t="s">
        <v>32</v>
      </c>
      <c r="O384" s="9" t="s">
        <v>64</v>
      </c>
      <c r="P384" s="9" t="s">
        <v>34</v>
      </c>
      <c r="Q384" s="10" t="str">
        <f>IF(IDMaster[[#This Row],[Consumption]]="Consumption",IDMaster[[#This Row],[Consumption]],IDMaster[[#This Row],[Basis]])</f>
        <v>Revenue</v>
      </c>
      <c r="R384" s="7" t="str">
        <f>IDMaster[[#This Row],[Supported Group]]&amp;"."&amp;IDMaster[[#This Row],[Basis]]</f>
        <v>Support.Revenue</v>
      </c>
      <c r="S384" s="11">
        <v>0.42185161428265983</v>
      </c>
      <c r="T384" s="12">
        <v>0.57814838571734017</v>
      </c>
      <c r="U384" s="12">
        <v>0</v>
      </c>
      <c r="V384" s="12">
        <v>0</v>
      </c>
      <c r="W384" s="12">
        <v>0</v>
      </c>
    </row>
    <row r="385" spans="1:23" x14ac:dyDescent="0.35">
      <c r="A385" s="7" t="s">
        <v>23</v>
      </c>
      <c r="B385" s="7" t="s">
        <v>1132</v>
      </c>
      <c r="C385" s="7" t="s">
        <v>329</v>
      </c>
      <c r="D385" s="8">
        <v>207712</v>
      </c>
      <c r="E385" s="7" t="s">
        <v>584</v>
      </c>
      <c r="F385" s="7" t="s">
        <v>1133</v>
      </c>
      <c r="G385" s="7" t="s">
        <v>48</v>
      </c>
      <c r="H385" s="7" t="s">
        <v>27</v>
      </c>
      <c r="I385" s="7" t="s">
        <v>28</v>
      </c>
      <c r="J385" s="7" t="s">
        <v>40</v>
      </c>
      <c r="K385" s="7" t="s">
        <v>626</v>
      </c>
      <c r="L385" s="7" t="s">
        <v>627</v>
      </c>
      <c r="M385" s="7" t="s">
        <v>43</v>
      </c>
      <c r="N385" s="9" t="s">
        <v>32</v>
      </c>
      <c r="O385" s="9" t="s">
        <v>67</v>
      </c>
      <c r="P385" s="9" t="s">
        <v>34</v>
      </c>
      <c r="Q385" s="10" t="str">
        <f>IF(IDMaster[[#This Row],[Consumption]]="Consumption",IDMaster[[#This Row],[Consumption]],IDMaster[[#This Row],[Basis]])</f>
        <v>Revenue</v>
      </c>
      <c r="R385" s="7" t="str">
        <f>IDMaster[[#This Row],[Supported Group]]&amp;"."&amp;IDMaster[[#This Row],[Basis]]</f>
        <v>IT Corporate.Revenue</v>
      </c>
      <c r="S385" s="11">
        <v>0.42185161428265983</v>
      </c>
      <c r="T385" s="12">
        <v>0.57814838571734017</v>
      </c>
      <c r="U385" s="12">
        <v>0</v>
      </c>
      <c r="V385" s="12">
        <v>0</v>
      </c>
      <c r="W385" s="12">
        <v>0</v>
      </c>
    </row>
    <row r="386" spans="1:23" x14ac:dyDescent="0.35">
      <c r="A386" s="7" t="s">
        <v>23</v>
      </c>
      <c r="B386" s="7" t="s">
        <v>1134</v>
      </c>
      <c r="C386" s="7" t="s">
        <v>83</v>
      </c>
      <c r="D386" s="8">
        <v>274453</v>
      </c>
      <c r="E386" s="7" t="s">
        <v>46</v>
      </c>
      <c r="F386" s="7" t="s">
        <v>1135</v>
      </c>
      <c r="G386" s="7" t="s">
        <v>48</v>
      </c>
      <c r="H386" s="7" t="s">
        <v>27</v>
      </c>
      <c r="I386" s="7" t="s">
        <v>28</v>
      </c>
      <c r="J386" s="7" t="s">
        <v>50</v>
      </c>
      <c r="K386" s="7" t="s">
        <v>84</v>
      </c>
      <c r="L386" s="7" t="s">
        <v>85</v>
      </c>
      <c r="M386" s="7" t="s">
        <v>50</v>
      </c>
      <c r="N386" s="9" t="s">
        <v>32</v>
      </c>
      <c r="O386" s="9" t="s">
        <v>51</v>
      </c>
      <c r="P386" s="9" t="s">
        <v>34</v>
      </c>
      <c r="Q386" s="10" t="str">
        <f>IF(IDMaster[[#This Row],[Consumption]]="Consumption",IDMaster[[#This Row],[Consumption]],IDMaster[[#This Row],[Basis]])</f>
        <v>Revenue</v>
      </c>
      <c r="R386" s="7" t="str">
        <f>IDMaster[[#This Row],[Supported Group]]&amp;"."&amp;IDMaster[[#This Row],[Basis]]</f>
        <v>IT Infrastructure.Revenue</v>
      </c>
      <c r="S386" s="11">
        <v>0.42185161428265983</v>
      </c>
      <c r="T386" s="12">
        <v>0.57814838571734017</v>
      </c>
      <c r="U386" s="12">
        <v>0</v>
      </c>
      <c r="V386" s="12">
        <v>0</v>
      </c>
      <c r="W386" s="12">
        <v>0</v>
      </c>
    </row>
    <row r="387" spans="1:23" x14ac:dyDescent="0.35">
      <c r="A387" s="7" t="s">
        <v>23</v>
      </c>
      <c r="B387" s="7" t="s">
        <v>1136</v>
      </c>
      <c r="C387" s="7" t="s">
        <v>340</v>
      </c>
      <c r="D387" s="8">
        <v>155810</v>
      </c>
      <c r="E387" s="7" t="s">
        <v>227</v>
      </c>
      <c r="F387" s="7" t="s">
        <v>1137</v>
      </c>
      <c r="G387" s="7" t="s">
        <v>48</v>
      </c>
      <c r="H387" s="7" t="s">
        <v>27</v>
      </c>
      <c r="I387" s="7" t="s">
        <v>28</v>
      </c>
      <c r="J387" s="7" t="s">
        <v>137</v>
      </c>
      <c r="K387" s="7" t="s">
        <v>63</v>
      </c>
      <c r="L387" s="7" t="s">
        <v>30</v>
      </c>
      <c r="M387" s="7" t="s">
        <v>1138</v>
      </c>
      <c r="N387" s="9" t="s">
        <v>32</v>
      </c>
      <c r="O387" s="9" t="s">
        <v>195</v>
      </c>
      <c r="P387" s="9" t="s">
        <v>34</v>
      </c>
      <c r="Q387" s="10" t="str">
        <f>IF(IDMaster[[#This Row],[Consumption]]="Consumption",IDMaster[[#This Row],[Consumption]],IDMaster[[#This Row],[Basis]])</f>
        <v>Revenue</v>
      </c>
      <c r="R387" s="7" t="str">
        <f>IDMaster[[#This Row],[Supported Group]]&amp;"."&amp;IDMaster[[#This Row],[Basis]]</f>
        <v>External Labor.Revenue</v>
      </c>
      <c r="S387" s="11">
        <v>0.42185161428265983</v>
      </c>
      <c r="T387" s="12">
        <v>0.57814838571734017</v>
      </c>
      <c r="U387" s="12">
        <v>0</v>
      </c>
      <c r="V387" s="12">
        <v>0</v>
      </c>
      <c r="W387" s="12">
        <v>0</v>
      </c>
    </row>
    <row r="388" spans="1:23" x14ac:dyDescent="0.35">
      <c r="A388" s="7" t="s">
        <v>23</v>
      </c>
      <c r="B388" s="7" t="s">
        <v>1139</v>
      </c>
      <c r="C388" s="7" t="s">
        <v>329</v>
      </c>
      <c r="D388" s="8">
        <v>207712</v>
      </c>
      <c r="E388" s="7" t="s">
        <v>559</v>
      </c>
      <c r="F388" s="7" t="s">
        <v>1140</v>
      </c>
      <c r="G388" s="7" t="s">
        <v>48</v>
      </c>
      <c r="H388" s="7" t="s">
        <v>27</v>
      </c>
      <c r="I388" s="7" t="s">
        <v>28</v>
      </c>
      <c r="J388" s="7" t="s">
        <v>124</v>
      </c>
      <c r="K388" s="7" t="s">
        <v>63</v>
      </c>
      <c r="L388" s="7" t="s">
        <v>30</v>
      </c>
      <c r="M388" s="7" t="s">
        <v>1141</v>
      </c>
      <c r="N388" s="9" t="s">
        <v>32</v>
      </c>
      <c r="O388" s="9" t="s">
        <v>51</v>
      </c>
      <c r="P388" s="9" t="s">
        <v>34</v>
      </c>
      <c r="Q388" s="10" t="str">
        <f>IF(IDMaster[[#This Row],[Consumption]]="Consumption",IDMaster[[#This Row],[Consumption]],IDMaster[[#This Row],[Basis]])</f>
        <v>Revenue</v>
      </c>
      <c r="R388" s="7" t="str">
        <f>IDMaster[[#This Row],[Supported Group]]&amp;"."&amp;IDMaster[[#This Row],[Basis]]</f>
        <v>IT Infrastructure.Revenue</v>
      </c>
      <c r="S388" s="11">
        <v>0.42185161428265983</v>
      </c>
      <c r="T388" s="12">
        <v>0.57814838571734017</v>
      </c>
      <c r="U388" s="12">
        <v>0</v>
      </c>
      <c r="V388" s="12">
        <v>0</v>
      </c>
      <c r="W388" s="12">
        <v>0</v>
      </c>
    </row>
    <row r="389" spans="1:23" x14ac:dyDescent="0.35">
      <c r="A389" s="7" t="s">
        <v>23</v>
      </c>
      <c r="B389" s="7" t="s">
        <v>1142</v>
      </c>
      <c r="C389" s="7" t="s">
        <v>280</v>
      </c>
      <c r="D389" s="8">
        <v>365729</v>
      </c>
      <c r="E389" s="7" t="s">
        <v>584</v>
      </c>
      <c r="F389" s="7" t="s">
        <v>1143</v>
      </c>
      <c r="G389" s="7" t="s">
        <v>48</v>
      </c>
      <c r="H389" s="7" t="s">
        <v>27</v>
      </c>
      <c r="I389" s="7" t="s">
        <v>28</v>
      </c>
      <c r="J389" s="7" t="s">
        <v>137</v>
      </c>
      <c r="K389" s="7" t="s">
        <v>63</v>
      </c>
      <c r="L389" s="7" t="s">
        <v>30</v>
      </c>
      <c r="M389" s="7" t="s">
        <v>43</v>
      </c>
      <c r="N389" s="9" t="s">
        <v>32</v>
      </c>
      <c r="O389" s="9" t="s">
        <v>64</v>
      </c>
      <c r="P389" s="9" t="s">
        <v>34</v>
      </c>
      <c r="Q389" s="10" t="str">
        <f>IF(IDMaster[[#This Row],[Consumption]]="Consumption",IDMaster[[#This Row],[Consumption]],IDMaster[[#This Row],[Basis]])</f>
        <v>Revenue</v>
      </c>
      <c r="R389" s="7" t="str">
        <f>IDMaster[[#This Row],[Supported Group]]&amp;"."&amp;IDMaster[[#This Row],[Basis]]</f>
        <v>Support.Revenue</v>
      </c>
      <c r="S389" s="11">
        <v>0.42185161428265983</v>
      </c>
      <c r="T389" s="12">
        <v>0.57814838571734017</v>
      </c>
      <c r="U389" s="12">
        <v>0</v>
      </c>
      <c r="V389" s="12">
        <v>0</v>
      </c>
      <c r="W389" s="12">
        <v>0</v>
      </c>
    </row>
    <row r="390" spans="1:23" x14ac:dyDescent="0.35">
      <c r="A390" s="7" t="s">
        <v>23</v>
      </c>
      <c r="B390" s="7" t="s">
        <v>1144</v>
      </c>
      <c r="C390" s="7" t="s">
        <v>1145</v>
      </c>
      <c r="D390" s="8">
        <v>297784</v>
      </c>
      <c r="E390" s="7" t="s">
        <v>46</v>
      </c>
      <c r="F390" s="7" t="s">
        <v>1146</v>
      </c>
      <c r="G390" s="7" t="s">
        <v>48</v>
      </c>
      <c r="H390" s="7" t="s">
        <v>27</v>
      </c>
      <c r="I390" s="7" t="s">
        <v>28</v>
      </c>
      <c r="J390" s="7" t="s">
        <v>40</v>
      </c>
      <c r="K390" s="7" t="s">
        <v>63</v>
      </c>
      <c r="L390" s="7" t="s">
        <v>30</v>
      </c>
      <c r="M390" s="7" t="s">
        <v>43</v>
      </c>
      <c r="N390" s="9" t="s">
        <v>32</v>
      </c>
      <c r="O390" s="9" t="s">
        <v>51</v>
      </c>
      <c r="P390" s="9" t="s">
        <v>34</v>
      </c>
      <c r="Q390" s="10" t="str">
        <f>IF(IDMaster[[#This Row],[Consumption]]="Consumption",IDMaster[[#This Row],[Consumption]],IDMaster[[#This Row],[Basis]])</f>
        <v>Revenue</v>
      </c>
      <c r="R390" s="7" t="str">
        <f>IDMaster[[#This Row],[Supported Group]]&amp;"."&amp;IDMaster[[#This Row],[Basis]]</f>
        <v>IT Infrastructure.Revenue</v>
      </c>
      <c r="S390" s="11">
        <v>0.42185161428265983</v>
      </c>
      <c r="T390" s="12">
        <v>0.57814838571734017</v>
      </c>
      <c r="U390" s="12">
        <v>0</v>
      </c>
      <c r="V390" s="12">
        <v>0</v>
      </c>
      <c r="W390" s="12">
        <v>0</v>
      </c>
    </row>
    <row r="391" spans="1:23" x14ac:dyDescent="0.35">
      <c r="A391" s="7" t="s">
        <v>23</v>
      </c>
      <c r="B391" s="7" t="s">
        <v>1147</v>
      </c>
      <c r="C391" s="7" t="s">
        <v>1148</v>
      </c>
      <c r="D391" s="8">
        <v>286596</v>
      </c>
      <c r="E391" s="7" t="s">
        <v>46</v>
      </c>
      <c r="F391" s="7" t="s">
        <v>1149</v>
      </c>
      <c r="G391" s="7" t="s">
        <v>48</v>
      </c>
      <c r="H391" s="7" t="s">
        <v>27</v>
      </c>
      <c r="I391" s="7" t="s">
        <v>28</v>
      </c>
      <c r="J391" s="7" t="s">
        <v>62</v>
      </c>
      <c r="K391" s="7" t="s">
        <v>63</v>
      </c>
      <c r="L391" s="7" t="s">
        <v>30</v>
      </c>
      <c r="M391" s="7" t="s">
        <v>1150</v>
      </c>
      <c r="N391" s="9" t="s">
        <v>32</v>
      </c>
      <c r="O391" s="9" t="s">
        <v>64</v>
      </c>
      <c r="P391" s="9" t="s">
        <v>34</v>
      </c>
      <c r="Q391" s="10" t="str">
        <f>IF(IDMaster[[#This Row],[Consumption]]="Consumption",IDMaster[[#This Row],[Consumption]],IDMaster[[#This Row],[Basis]])</f>
        <v>Revenue</v>
      </c>
      <c r="R391" s="7" t="str">
        <f>IDMaster[[#This Row],[Supported Group]]&amp;"."&amp;IDMaster[[#This Row],[Basis]]</f>
        <v>Support.Revenue</v>
      </c>
      <c r="S391" s="11">
        <v>0.42185161428265983</v>
      </c>
      <c r="T391" s="12">
        <v>0.57814838571734017</v>
      </c>
      <c r="U391" s="12">
        <v>0</v>
      </c>
      <c r="V391" s="12">
        <v>0</v>
      </c>
      <c r="W391" s="12">
        <v>0</v>
      </c>
    </row>
    <row r="392" spans="1:23" x14ac:dyDescent="0.35">
      <c r="A392" s="7" t="s">
        <v>23</v>
      </c>
      <c r="B392" s="7" t="s">
        <v>1151</v>
      </c>
      <c r="C392" s="7" t="s">
        <v>1152</v>
      </c>
      <c r="D392" s="8">
        <v>217973</v>
      </c>
      <c r="E392" s="7" t="s">
        <v>584</v>
      </c>
      <c r="F392" s="7" t="s">
        <v>1153</v>
      </c>
      <c r="G392" s="7" t="s">
        <v>48</v>
      </c>
      <c r="H392" s="7" t="s">
        <v>27</v>
      </c>
      <c r="I392" s="7" t="s">
        <v>28</v>
      </c>
      <c r="J392" s="7" t="s">
        <v>267</v>
      </c>
      <c r="K392" s="7" t="s">
        <v>630</v>
      </c>
      <c r="L392" s="7" t="s">
        <v>631</v>
      </c>
      <c r="M392" s="7" t="s">
        <v>43</v>
      </c>
      <c r="N392" s="9" t="s">
        <v>32</v>
      </c>
      <c r="O392" s="9" t="s">
        <v>141</v>
      </c>
      <c r="P392" s="9" t="s">
        <v>34</v>
      </c>
      <c r="Q392" s="10" t="str">
        <f>IF(IDMaster[[#This Row],[Consumption]]="Consumption",IDMaster[[#This Row],[Consumption]],IDMaster[[#This Row],[Basis]])</f>
        <v>Revenue</v>
      </c>
      <c r="R392" s="7" t="str">
        <f>IDMaster[[#This Row],[Supported Group]]&amp;"."&amp;IDMaster[[#This Row],[Basis]]</f>
        <v>Other.Revenue</v>
      </c>
      <c r="S392" s="11">
        <v>0.42185161428265983</v>
      </c>
      <c r="T392" s="12">
        <v>0.57814838571734017</v>
      </c>
      <c r="U392" s="12">
        <v>0</v>
      </c>
      <c r="V392" s="12">
        <v>0</v>
      </c>
      <c r="W392" s="12">
        <v>0</v>
      </c>
    </row>
    <row r="393" spans="1:23" x14ac:dyDescent="0.35">
      <c r="A393" s="7" t="s">
        <v>23</v>
      </c>
      <c r="B393" s="7" t="s">
        <v>1154</v>
      </c>
      <c r="C393" s="7" t="s">
        <v>393</v>
      </c>
      <c r="D393" s="8">
        <v>288645</v>
      </c>
      <c r="E393" s="7" t="s">
        <v>46</v>
      </c>
      <c r="F393" s="7" t="s">
        <v>1155</v>
      </c>
      <c r="G393" s="7" t="s">
        <v>48</v>
      </c>
      <c r="H393" s="7" t="s">
        <v>39</v>
      </c>
      <c r="I393" s="7" t="s">
        <v>28</v>
      </c>
      <c r="J393" s="7" t="s">
        <v>62</v>
      </c>
      <c r="K393" s="7" t="s">
        <v>29</v>
      </c>
      <c r="L393" s="7" t="s">
        <v>30</v>
      </c>
      <c r="M393" s="7" t="s">
        <v>1155</v>
      </c>
      <c r="N393" s="9" t="s">
        <v>32</v>
      </c>
      <c r="O393" s="9" t="s">
        <v>64</v>
      </c>
      <c r="P393" s="9" t="s">
        <v>34</v>
      </c>
      <c r="Q393" s="10" t="str">
        <f>IF(IDMaster[[#This Row],[Consumption]]="Consumption",IDMaster[[#This Row],[Consumption]],IDMaster[[#This Row],[Basis]])</f>
        <v>Revenue</v>
      </c>
      <c r="R393" s="7" t="str">
        <f>IDMaster[[#This Row],[Supported Group]]&amp;"."&amp;IDMaster[[#This Row],[Basis]]</f>
        <v>Support.Revenue</v>
      </c>
      <c r="S393" s="11">
        <v>0.42185161428265983</v>
      </c>
      <c r="T393" s="12">
        <v>0.57814838571734017</v>
      </c>
      <c r="U393" s="12">
        <v>0</v>
      </c>
      <c r="V393" s="12">
        <v>0</v>
      </c>
      <c r="W393" s="12">
        <v>0</v>
      </c>
    </row>
    <row r="394" spans="1:23" x14ac:dyDescent="0.35">
      <c r="A394" s="7" t="s">
        <v>23</v>
      </c>
      <c r="B394" s="7" t="s">
        <v>1156</v>
      </c>
      <c r="C394" s="7" t="s">
        <v>1157</v>
      </c>
      <c r="D394" s="8">
        <v>143981</v>
      </c>
      <c r="E394" s="7" t="s">
        <v>46</v>
      </c>
      <c r="F394" s="7" t="s">
        <v>1158</v>
      </c>
      <c r="G394" s="7" t="s">
        <v>48</v>
      </c>
      <c r="H394" s="7" t="s">
        <v>27</v>
      </c>
      <c r="I394" s="7" t="s">
        <v>28</v>
      </c>
      <c r="J394" s="7" t="s">
        <v>40</v>
      </c>
      <c r="K394" s="7" t="s">
        <v>63</v>
      </c>
      <c r="L394" s="7" t="s">
        <v>30</v>
      </c>
      <c r="M394" s="7" t="s">
        <v>1159</v>
      </c>
      <c r="N394" s="9" t="s">
        <v>92</v>
      </c>
      <c r="O394" s="9" t="s">
        <v>863</v>
      </c>
      <c r="P394" s="9" t="s">
        <v>34</v>
      </c>
      <c r="Q394" s="10" t="str">
        <f>IF(IDMaster[[#This Row],[Consumption]]="Consumption",IDMaster[[#This Row],[Consumption]],IDMaster[[#This Row],[Basis]])</f>
        <v>Total Headcount</v>
      </c>
      <c r="R394" s="7" t="str">
        <f>IDMaster[[#This Row],[Supported Group]]&amp;"."&amp;IDMaster[[#This Row],[Basis]]</f>
        <v>Finance.Total Headcount</v>
      </c>
      <c r="S394" s="11">
        <v>0.69106036166058238</v>
      </c>
      <c r="T394" s="12">
        <v>0.14347567705238135</v>
      </c>
      <c r="U394" s="12">
        <v>0</v>
      </c>
      <c r="V394" s="12">
        <v>0</v>
      </c>
      <c r="W394" s="12">
        <v>0.16546396128703625</v>
      </c>
    </row>
    <row r="395" spans="1:23" x14ac:dyDescent="0.35">
      <c r="A395" s="7" t="s">
        <v>23</v>
      </c>
      <c r="B395" s="7" t="s">
        <v>1160</v>
      </c>
      <c r="C395" s="7" t="s">
        <v>393</v>
      </c>
      <c r="D395" s="8">
        <v>288645</v>
      </c>
      <c r="E395" s="7" t="s">
        <v>46</v>
      </c>
      <c r="F395" s="7" t="s">
        <v>1161</v>
      </c>
      <c r="G395" s="7" t="s">
        <v>48</v>
      </c>
      <c r="H395" s="7" t="s">
        <v>27</v>
      </c>
      <c r="I395" s="7" t="s">
        <v>28</v>
      </c>
      <c r="J395" s="7" t="s">
        <v>62</v>
      </c>
      <c r="K395" s="7" t="s">
        <v>63</v>
      </c>
      <c r="L395" s="7" t="s">
        <v>30</v>
      </c>
      <c r="M395" s="7" t="s">
        <v>43</v>
      </c>
      <c r="N395" s="9" t="s">
        <v>32</v>
      </c>
      <c r="O395" s="9" t="s">
        <v>64</v>
      </c>
      <c r="P395" s="9" t="s">
        <v>34</v>
      </c>
      <c r="Q395" s="10" t="str">
        <f>IF(IDMaster[[#This Row],[Consumption]]="Consumption",IDMaster[[#This Row],[Consumption]],IDMaster[[#This Row],[Basis]])</f>
        <v>Revenue</v>
      </c>
      <c r="R395" s="7" t="str">
        <f>IDMaster[[#This Row],[Supported Group]]&amp;"."&amp;IDMaster[[#This Row],[Basis]]</f>
        <v>Support.Revenue</v>
      </c>
      <c r="S395" s="11">
        <v>0.42185161428265983</v>
      </c>
      <c r="T395" s="12">
        <v>0.57814838571734017</v>
      </c>
      <c r="U395" s="12">
        <v>0</v>
      </c>
      <c r="V395" s="12">
        <v>0</v>
      </c>
      <c r="W395" s="12">
        <v>0</v>
      </c>
    </row>
    <row r="396" spans="1:23" x14ac:dyDescent="0.35">
      <c r="A396" s="7" t="s">
        <v>23</v>
      </c>
      <c r="B396" s="7" t="s">
        <v>1162</v>
      </c>
      <c r="C396" s="7" t="s">
        <v>598</v>
      </c>
      <c r="D396" s="8">
        <v>196781</v>
      </c>
      <c r="E396" s="7" t="s">
        <v>70</v>
      </c>
      <c r="F396" s="7" t="s">
        <v>1163</v>
      </c>
      <c r="G396" s="7" t="s">
        <v>48</v>
      </c>
      <c r="H396" s="7" t="s">
        <v>27</v>
      </c>
      <c r="I396" s="7" t="s">
        <v>28</v>
      </c>
      <c r="J396" s="7" t="s">
        <v>40</v>
      </c>
      <c r="K396" s="7" t="s">
        <v>80</v>
      </c>
      <c r="L396" s="7" t="s">
        <v>42</v>
      </c>
      <c r="M396" s="7" t="s">
        <v>1163</v>
      </c>
      <c r="N396" s="9" t="s">
        <v>32</v>
      </c>
      <c r="O396" s="9" t="s">
        <v>33</v>
      </c>
      <c r="P396" s="9" t="s">
        <v>34</v>
      </c>
      <c r="Q396" s="10" t="str">
        <f>IF(IDMaster[[#This Row],[Consumption]]="Consumption",IDMaster[[#This Row],[Consumption]],IDMaster[[#This Row],[Basis]])</f>
        <v>Revenue</v>
      </c>
      <c r="R396" s="7" t="str">
        <f>IDMaster[[#This Row],[Supported Group]]&amp;"."&amp;IDMaster[[#This Row],[Basis]]</f>
        <v>IT Tools.Revenue</v>
      </c>
      <c r="S396" s="11">
        <v>0.42185161428265983</v>
      </c>
      <c r="T396" s="12">
        <v>0.57814838571734017</v>
      </c>
      <c r="U396" s="12">
        <v>0</v>
      </c>
      <c r="V396" s="12">
        <v>0</v>
      </c>
      <c r="W396" s="12">
        <v>0</v>
      </c>
    </row>
    <row r="397" spans="1:23" x14ac:dyDescent="0.35">
      <c r="A397" s="7" t="s">
        <v>23</v>
      </c>
      <c r="B397" s="7" t="s">
        <v>1164</v>
      </c>
      <c r="C397" s="7" t="s">
        <v>388</v>
      </c>
      <c r="D397" s="8">
        <v>368877</v>
      </c>
      <c r="E397" s="7" t="s">
        <v>95</v>
      </c>
      <c r="F397" s="7" t="s">
        <v>1165</v>
      </c>
      <c r="G397" s="7" t="s">
        <v>97</v>
      </c>
      <c r="H397" s="7" t="s">
        <v>27</v>
      </c>
      <c r="I397" s="7" t="s">
        <v>28</v>
      </c>
      <c r="J397" s="7" t="s">
        <v>40</v>
      </c>
      <c r="K397" s="7" t="s">
        <v>80</v>
      </c>
      <c r="L397" s="7" t="s">
        <v>42</v>
      </c>
      <c r="M397" s="7" t="s">
        <v>1166</v>
      </c>
      <c r="N397" s="9" t="s">
        <v>32</v>
      </c>
      <c r="O397" s="9" t="s">
        <v>99</v>
      </c>
      <c r="P397" s="9" t="s">
        <v>34</v>
      </c>
      <c r="Q397" s="10" t="str">
        <f>IF(IDMaster[[#This Row],[Consumption]]="Consumption",IDMaster[[#This Row],[Consumption]],IDMaster[[#This Row],[Basis]])</f>
        <v>Revenue</v>
      </c>
      <c r="R397" s="7" t="str">
        <f>IDMaster[[#This Row],[Supported Group]]&amp;"."&amp;IDMaster[[#This Row],[Basis]]</f>
        <v>Security.Revenue</v>
      </c>
      <c r="S397" s="11">
        <v>0.42185161428265983</v>
      </c>
      <c r="T397" s="12">
        <v>0.57814838571734017</v>
      </c>
      <c r="U397" s="12">
        <v>0</v>
      </c>
      <c r="V397" s="12">
        <v>0</v>
      </c>
      <c r="W397" s="12">
        <v>0</v>
      </c>
    </row>
    <row r="398" spans="1:23" x14ac:dyDescent="0.35">
      <c r="A398" s="7" t="s">
        <v>23</v>
      </c>
      <c r="B398" s="7" t="s">
        <v>1167</v>
      </c>
      <c r="C398" s="7" t="s">
        <v>343</v>
      </c>
      <c r="D398" s="8">
        <v>244518</v>
      </c>
      <c r="E398" s="7" t="s">
        <v>95</v>
      </c>
      <c r="F398" s="7" t="s">
        <v>1168</v>
      </c>
      <c r="G398" s="7" t="s">
        <v>97</v>
      </c>
      <c r="H398" s="7" t="s">
        <v>27</v>
      </c>
      <c r="I398" s="7" t="s">
        <v>28</v>
      </c>
      <c r="J398" s="7" t="s">
        <v>137</v>
      </c>
      <c r="K398" s="7" t="s">
        <v>80</v>
      </c>
      <c r="L398" s="7" t="s">
        <v>42</v>
      </c>
      <c r="M398" s="7" t="s">
        <v>1169</v>
      </c>
      <c r="N398" s="9" t="s">
        <v>32</v>
      </c>
      <c r="O398" s="9" t="s">
        <v>99</v>
      </c>
      <c r="P398" s="9" t="s">
        <v>34</v>
      </c>
      <c r="Q398" s="10" t="str">
        <f>IF(IDMaster[[#This Row],[Consumption]]="Consumption",IDMaster[[#This Row],[Consumption]],IDMaster[[#This Row],[Basis]])</f>
        <v>Revenue</v>
      </c>
      <c r="R398" s="7" t="str">
        <f>IDMaster[[#This Row],[Supported Group]]&amp;"."&amp;IDMaster[[#This Row],[Basis]]</f>
        <v>Security.Revenue</v>
      </c>
      <c r="S398" s="11">
        <v>0.42185161428265983</v>
      </c>
      <c r="T398" s="12">
        <v>0.57814838571734017</v>
      </c>
      <c r="U398" s="12">
        <v>0</v>
      </c>
      <c r="V398" s="12">
        <v>0</v>
      </c>
      <c r="W398" s="12">
        <v>0</v>
      </c>
    </row>
    <row r="399" spans="1:23" x14ac:dyDescent="0.35">
      <c r="A399" s="7" t="s">
        <v>23</v>
      </c>
      <c r="B399" s="7" t="s">
        <v>1170</v>
      </c>
      <c r="C399" s="7" t="s">
        <v>1171</v>
      </c>
      <c r="D399" s="8">
        <v>369733</v>
      </c>
      <c r="E399" s="7" t="s">
        <v>95</v>
      </c>
      <c r="F399" s="13" t="s">
        <v>1172</v>
      </c>
      <c r="G399" s="7" t="s">
        <v>97</v>
      </c>
      <c r="H399" s="7" t="s">
        <v>27</v>
      </c>
      <c r="I399" s="7" t="s">
        <v>28</v>
      </c>
      <c r="J399" s="7" t="s">
        <v>40</v>
      </c>
      <c r="K399" s="7" t="s">
        <v>80</v>
      </c>
      <c r="L399" s="7" t="s">
        <v>42</v>
      </c>
      <c r="M399" s="7" t="s">
        <v>1173</v>
      </c>
      <c r="N399" s="9" t="s">
        <v>32</v>
      </c>
      <c r="O399" s="9" t="s">
        <v>99</v>
      </c>
      <c r="P399" s="9" t="s">
        <v>34</v>
      </c>
      <c r="Q399" s="10" t="str">
        <f>IF(IDMaster[[#This Row],[Consumption]]="Consumption",IDMaster[[#This Row],[Consumption]],IDMaster[[#This Row],[Basis]])</f>
        <v>Revenue</v>
      </c>
      <c r="R399" s="7" t="str">
        <f>IDMaster[[#This Row],[Supported Group]]&amp;"."&amp;IDMaster[[#This Row],[Basis]]</f>
        <v>Security.Revenue</v>
      </c>
      <c r="S399" s="11">
        <v>0.42185161428265983</v>
      </c>
      <c r="T399" s="12">
        <v>0.57814838571734017</v>
      </c>
      <c r="U399" s="12">
        <v>0</v>
      </c>
      <c r="V399" s="12">
        <v>0</v>
      </c>
      <c r="W399" s="12">
        <v>0</v>
      </c>
    </row>
    <row r="400" spans="1:23" x14ac:dyDescent="0.35">
      <c r="A400" s="7" t="s">
        <v>23</v>
      </c>
      <c r="B400" s="7" t="s">
        <v>1174</v>
      </c>
      <c r="C400" s="7" t="s">
        <v>1175</v>
      </c>
      <c r="D400" s="8">
        <v>369127</v>
      </c>
      <c r="E400" s="7" t="s">
        <v>95</v>
      </c>
      <c r="F400" s="7" t="s">
        <v>1176</v>
      </c>
      <c r="G400" s="7" t="s">
        <v>97</v>
      </c>
      <c r="H400" s="7" t="s">
        <v>27</v>
      </c>
      <c r="I400" s="17" t="s">
        <v>123</v>
      </c>
      <c r="J400" s="7" t="s">
        <v>40</v>
      </c>
      <c r="K400" s="7" t="s">
        <v>80</v>
      </c>
      <c r="L400" s="7" t="s">
        <v>42</v>
      </c>
      <c r="M400" s="7" t="s">
        <v>1177</v>
      </c>
      <c r="N400" s="9" t="s">
        <v>32</v>
      </c>
      <c r="O400" s="9" t="s">
        <v>99</v>
      </c>
      <c r="P400" s="9" t="s">
        <v>34</v>
      </c>
      <c r="Q400" s="10" t="str">
        <f>IF(IDMaster[[#This Row],[Consumption]]="Consumption",IDMaster[[#This Row],[Consumption]],IDMaster[[#This Row],[Basis]])</f>
        <v>Revenue</v>
      </c>
      <c r="R400" s="7" t="str">
        <f>IDMaster[[#This Row],[Supported Group]]&amp;"."&amp;IDMaster[[#This Row],[Basis]]</f>
        <v>Security.Revenue</v>
      </c>
      <c r="S400" s="11">
        <v>0.42185161428265983</v>
      </c>
      <c r="T400" s="12">
        <v>0.57814838571734017</v>
      </c>
      <c r="U400" s="12">
        <v>0</v>
      </c>
      <c r="V400" s="12">
        <v>0</v>
      </c>
      <c r="W400" s="12">
        <v>0</v>
      </c>
    </row>
    <row r="401" spans="1:23" x14ac:dyDescent="0.35">
      <c r="A401" s="7" t="s">
        <v>23</v>
      </c>
      <c r="B401" s="7" t="s">
        <v>1178</v>
      </c>
      <c r="C401" s="7" t="s">
        <v>108</v>
      </c>
      <c r="D401" s="8">
        <v>266580</v>
      </c>
      <c r="E401" s="7" t="s">
        <v>95</v>
      </c>
      <c r="F401" s="7" t="s">
        <v>1179</v>
      </c>
      <c r="G401" s="7" t="s">
        <v>97</v>
      </c>
      <c r="H401" s="7" t="s">
        <v>27</v>
      </c>
      <c r="I401" s="7" t="s">
        <v>28</v>
      </c>
      <c r="J401" s="7" t="s">
        <v>40</v>
      </c>
      <c r="K401" s="7" t="s">
        <v>80</v>
      </c>
      <c r="L401" s="7" t="s">
        <v>42</v>
      </c>
      <c r="M401" s="7" t="s">
        <v>1180</v>
      </c>
      <c r="N401" s="9" t="s">
        <v>32</v>
      </c>
      <c r="O401" s="9" t="s">
        <v>99</v>
      </c>
      <c r="P401" s="9" t="s">
        <v>34</v>
      </c>
      <c r="Q401" s="10" t="str">
        <f>IF(IDMaster[[#This Row],[Consumption]]="Consumption",IDMaster[[#This Row],[Consumption]],IDMaster[[#This Row],[Basis]])</f>
        <v>Revenue</v>
      </c>
      <c r="R401" s="7" t="str">
        <f>IDMaster[[#This Row],[Supported Group]]&amp;"."&amp;IDMaster[[#This Row],[Basis]]</f>
        <v>Security.Revenue</v>
      </c>
      <c r="S401" s="11">
        <v>0.42185161428265983</v>
      </c>
      <c r="T401" s="12">
        <v>0.57814838571734017</v>
      </c>
      <c r="U401" s="12">
        <v>0</v>
      </c>
      <c r="V401" s="12">
        <v>0</v>
      </c>
      <c r="W401" s="12">
        <v>0</v>
      </c>
    </row>
    <row r="402" spans="1:23" x14ac:dyDescent="0.35">
      <c r="A402" s="7" t="s">
        <v>23</v>
      </c>
      <c r="B402" s="7" t="s">
        <v>1181</v>
      </c>
      <c r="C402" s="7" t="s">
        <v>388</v>
      </c>
      <c r="D402" s="8">
        <v>368877</v>
      </c>
      <c r="E402" s="7" t="s">
        <v>95</v>
      </c>
      <c r="F402" s="7" t="s">
        <v>1182</v>
      </c>
      <c r="G402" s="7" t="s">
        <v>97</v>
      </c>
      <c r="H402" s="7" t="s">
        <v>27</v>
      </c>
      <c r="I402" s="7" t="s">
        <v>28</v>
      </c>
      <c r="J402" s="7" t="s">
        <v>40</v>
      </c>
      <c r="K402" s="7" t="s">
        <v>80</v>
      </c>
      <c r="L402" s="7" t="s">
        <v>42</v>
      </c>
      <c r="M402" s="7" t="s">
        <v>872</v>
      </c>
      <c r="N402" s="9" t="s">
        <v>32</v>
      </c>
      <c r="O402" s="9" t="s">
        <v>99</v>
      </c>
      <c r="P402" s="9" t="s">
        <v>34</v>
      </c>
      <c r="Q402" s="10" t="str">
        <f>IF(IDMaster[[#This Row],[Consumption]]="Consumption",IDMaster[[#This Row],[Consumption]],IDMaster[[#This Row],[Basis]])</f>
        <v>Revenue</v>
      </c>
      <c r="R402" s="7" t="str">
        <f>IDMaster[[#This Row],[Supported Group]]&amp;"."&amp;IDMaster[[#This Row],[Basis]]</f>
        <v>Security.Revenue</v>
      </c>
      <c r="S402" s="11">
        <v>0.42185161428265983</v>
      </c>
      <c r="T402" s="12">
        <v>0.57814838571734017</v>
      </c>
      <c r="U402" s="12">
        <v>0</v>
      </c>
      <c r="V402" s="12">
        <v>0</v>
      </c>
      <c r="W402" s="12">
        <v>0</v>
      </c>
    </row>
    <row r="403" spans="1:23" x14ac:dyDescent="0.35">
      <c r="A403" s="7" t="s">
        <v>23</v>
      </c>
      <c r="B403" s="7" t="s">
        <v>1183</v>
      </c>
      <c r="C403" s="7" t="s">
        <v>1184</v>
      </c>
      <c r="D403" s="8">
        <v>259622</v>
      </c>
      <c r="E403" s="7" t="s">
        <v>95</v>
      </c>
      <c r="F403" s="7" t="s">
        <v>1185</v>
      </c>
      <c r="G403" s="7" t="s">
        <v>97</v>
      </c>
      <c r="H403" s="7" t="s">
        <v>27</v>
      </c>
      <c r="I403" s="7" t="s">
        <v>28</v>
      </c>
      <c r="J403" s="7" t="s">
        <v>40</v>
      </c>
      <c r="K403" s="7" t="s">
        <v>80</v>
      </c>
      <c r="L403" s="7" t="s">
        <v>42</v>
      </c>
      <c r="M403" s="7" t="s">
        <v>1186</v>
      </c>
      <c r="N403" s="9" t="s">
        <v>32</v>
      </c>
      <c r="O403" s="9" t="s">
        <v>99</v>
      </c>
      <c r="P403" s="9" t="s">
        <v>34</v>
      </c>
      <c r="Q403" s="10" t="str">
        <f>IF(IDMaster[[#This Row],[Consumption]]="Consumption",IDMaster[[#This Row],[Consumption]],IDMaster[[#This Row],[Basis]])</f>
        <v>Revenue</v>
      </c>
      <c r="R403" s="7" t="str">
        <f>IDMaster[[#This Row],[Supported Group]]&amp;"."&amp;IDMaster[[#This Row],[Basis]]</f>
        <v>Security.Revenue</v>
      </c>
      <c r="S403" s="11">
        <v>0.42185161428265983</v>
      </c>
      <c r="T403" s="12">
        <v>0.57814838571734017</v>
      </c>
      <c r="U403" s="12">
        <v>0</v>
      </c>
      <c r="V403" s="12">
        <v>0</v>
      </c>
      <c r="W403" s="12">
        <v>0</v>
      </c>
    </row>
    <row r="404" spans="1:23" x14ac:dyDescent="0.35">
      <c r="A404" s="7" t="s">
        <v>23</v>
      </c>
      <c r="B404" s="7" t="s">
        <v>1187</v>
      </c>
      <c r="C404" s="7" t="s">
        <v>377</v>
      </c>
      <c r="D404" s="8">
        <v>320074</v>
      </c>
      <c r="E404" s="7" t="s">
        <v>95</v>
      </c>
      <c r="F404" s="7" t="s">
        <v>1188</v>
      </c>
      <c r="G404" s="7" t="s">
        <v>97</v>
      </c>
      <c r="H404" s="7" t="s">
        <v>27</v>
      </c>
      <c r="I404" s="7" t="s">
        <v>28</v>
      </c>
      <c r="J404" s="7" t="s">
        <v>40</v>
      </c>
      <c r="K404" s="7" t="s">
        <v>80</v>
      </c>
      <c r="L404" s="7" t="s">
        <v>42</v>
      </c>
      <c r="M404" s="7" t="s">
        <v>1189</v>
      </c>
      <c r="N404" s="9" t="s">
        <v>32</v>
      </c>
      <c r="O404" s="9" t="s">
        <v>99</v>
      </c>
      <c r="P404" s="9" t="s">
        <v>34</v>
      </c>
      <c r="Q404" s="10" t="str">
        <f>IF(IDMaster[[#This Row],[Consumption]]="Consumption",IDMaster[[#This Row],[Consumption]],IDMaster[[#This Row],[Basis]])</f>
        <v>Revenue</v>
      </c>
      <c r="R404" s="7" t="str">
        <f>IDMaster[[#This Row],[Supported Group]]&amp;"."&amp;IDMaster[[#This Row],[Basis]]</f>
        <v>Security.Revenue</v>
      </c>
      <c r="S404" s="11">
        <v>0.42185161428265983</v>
      </c>
      <c r="T404" s="12">
        <v>0.57814838571734017</v>
      </c>
      <c r="U404" s="12">
        <v>0</v>
      </c>
      <c r="V404" s="12">
        <v>0</v>
      </c>
      <c r="W404" s="12">
        <v>0</v>
      </c>
    </row>
    <row r="405" spans="1:23" x14ac:dyDescent="0.35">
      <c r="A405" s="7" t="s">
        <v>23</v>
      </c>
      <c r="B405" s="7" t="s">
        <v>1190</v>
      </c>
      <c r="C405" s="7" t="s">
        <v>377</v>
      </c>
      <c r="D405" s="8">
        <v>320074</v>
      </c>
      <c r="E405" s="7" t="s">
        <v>95</v>
      </c>
      <c r="F405" s="7" t="s">
        <v>1191</v>
      </c>
      <c r="G405" s="7" t="s">
        <v>97</v>
      </c>
      <c r="H405" s="7" t="s">
        <v>27</v>
      </c>
      <c r="I405" s="7" t="s">
        <v>28</v>
      </c>
      <c r="J405" s="7" t="s">
        <v>40</v>
      </c>
      <c r="K405" s="7" t="s">
        <v>80</v>
      </c>
      <c r="L405" s="7" t="s">
        <v>42</v>
      </c>
      <c r="M405" s="7" t="s">
        <v>43</v>
      </c>
      <c r="N405" s="9" t="s">
        <v>32</v>
      </c>
      <c r="O405" s="9" t="s">
        <v>99</v>
      </c>
      <c r="P405" s="9" t="s">
        <v>34</v>
      </c>
      <c r="Q405" s="10" t="str">
        <f>IF(IDMaster[[#This Row],[Consumption]]="Consumption",IDMaster[[#This Row],[Consumption]],IDMaster[[#This Row],[Basis]])</f>
        <v>Revenue</v>
      </c>
      <c r="R405" s="7" t="str">
        <f>IDMaster[[#This Row],[Supported Group]]&amp;"."&amp;IDMaster[[#This Row],[Basis]]</f>
        <v>Security.Revenue</v>
      </c>
      <c r="S405" s="11">
        <v>0.42185161428265983</v>
      </c>
      <c r="T405" s="12">
        <v>0.57814838571734017</v>
      </c>
      <c r="U405" s="12">
        <v>0</v>
      </c>
      <c r="V405" s="12">
        <v>0</v>
      </c>
      <c r="W405" s="12">
        <v>0</v>
      </c>
    </row>
    <row r="406" spans="1:23" x14ac:dyDescent="0.35">
      <c r="A406" s="7" t="s">
        <v>23</v>
      </c>
      <c r="B406" s="7" t="s">
        <v>1192</v>
      </c>
      <c r="C406" s="7" t="s">
        <v>377</v>
      </c>
      <c r="D406" s="8">
        <v>320074</v>
      </c>
      <c r="E406" s="7" t="s">
        <v>95</v>
      </c>
      <c r="F406" s="7" t="s">
        <v>1193</v>
      </c>
      <c r="G406" s="7" t="s">
        <v>97</v>
      </c>
      <c r="H406" s="7" t="s">
        <v>27</v>
      </c>
      <c r="I406" s="7" t="s">
        <v>28</v>
      </c>
      <c r="J406" s="7" t="s">
        <v>40</v>
      </c>
      <c r="K406" s="7" t="s">
        <v>80</v>
      </c>
      <c r="L406" s="7" t="s">
        <v>42</v>
      </c>
      <c r="M406" s="7" t="s">
        <v>43</v>
      </c>
      <c r="N406" s="9" t="s">
        <v>32</v>
      </c>
      <c r="O406" s="9" t="s">
        <v>99</v>
      </c>
      <c r="P406" s="9" t="s">
        <v>34</v>
      </c>
      <c r="Q406" s="10" t="str">
        <f>IF(IDMaster[[#This Row],[Consumption]]="Consumption",IDMaster[[#This Row],[Consumption]],IDMaster[[#This Row],[Basis]])</f>
        <v>Revenue</v>
      </c>
      <c r="R406" s="7" t="str">
        <f>IDMaster[[#This Row],[Supported Group]]&amp;"."&amp;IDMaster[[#This Row],[Basis]]</f>
        <v>Security.Revenue</v>
      </c>
      <c r="S406" s="11">
        <v>0.42185161428265983</v>
      </c>
      <c r="T406" s="12">
        <v>0.57814838571734017</v>
      </c>
      <c r="U406" s="12">
        <v>0</v>
      </c>
      <c r="V406" s="12">
        <v>0</v>
      </c>
      <c r="W406" s="12">
        <v>0</v>
      </c>
    </row>
    <row r="407" spans="1:23" x14ac:dyDescent="0.35">
      <c r="A407" s="7" t="s">
        <v>23</v>
      </c>
      <c r="B407" s="7" t="s">
        <v>1194</v>
      </c>
      <c r="C407" s="7" t="s">
        <v>377</v>
      </c>
      <c r="D407" s="8">
        <v>320074</v>
      </c>
      <c r="E407" s="7" t="s">
        <v>95</v>
      </c>
      <c r="F407" s="7" t="s">
        <v>1195</v>
      </c>
      <c r="G407" s="7" t="s">
        <v>97</v>
      </c>
      <c r="H407" s="7" t="s">
        <v>27</v>
      </c>
      <c r="I407" s="7" t="s">
        <v>28</v>
      </c>
      <c r="J407" s="7" t="s">
        <v>40</v>
      </c>
      <c r="K407" s="7" t="s">
        <v>80</v>
      </c>
      <c r="L407" s="7" t="s">
        <v>42</v>
      </c>
      <c r="M407" s="7" t="s">
        <v>1196</v>
      </c>
      <c r="N407" s="9" t="s">
        <v>32</v>
      </c>
      <c r="O407" s="9" t="s">
        <v>99</v>
      </c>
      <c r="P407" s="9" t="s">
        <v>34</v>
      </c>
      <c r="Q407" s="10" t="str">
        <f>IF(IDMaster[[#This Row],[Consumption]]="Consumption",IDMaster[[#This Row],[Consumption]],IDMaster[[#This Row],[Basis]])</f>
        <v>Revenue</v>
      </c>
      <c r="R407" s="7" t="str">
        <f>IDMaster[[#This Row],[Supported Group]]&amp;"."&amp;IDMaster[[#This Row],[Basis]]</f>
        <v>Security.Revenue</v>
      </c>
      <c r="S407" s="11">
        <v>0.42185161428265983</v>
      </c>
      <c r="T407" s="12">
        <v>0.57814838571734017</v>
      </c>
      <c r="U407" s="12">
        <v>0</v>
      </c>
      <c r="V407" s="12">
        <v>0</v>
      </c>
      <c r="W407" s="12">
        <v>0</v>
      </c>
    </row>
    <row r="408" spans="1:23" x14ac:dyDescent="0.35">
      <c r="A408" s="7" t="s">
        <v>23</v>
      </c>
      <c r="B408" s="7" t="s">
        <v>1197</v>
      </c>
      <c r="C408" s="7" t="s">
        <v>377</v>
      </c>
      <c r="D408" s="8">
        <v>320074</v>
      </c>
      <c r="E408" s="7" t="s">
        <v>95</v>
      </c>
      <c r="F408" s="7" t="s">
        <v>1198</v>
      </c>
      <c r="G408" s="7" t="s">
        <v>97</v>
      </c>
      <c r="H408" s="7" t="s">
        <v>27</v>
      </c>
      <c r="I408" s="7" t="s">
        <v>28</v>
      </c>
      <c r="J408" s="7" t="s">
        <v>40</v>
      </c>
      <c r="K408" s="7" t="s">
        <v>80</v>
      </c>
      <c r="L408" s="7" t="s">
        <v>42</v>
      </c>
      <c r="M408" s="7" t="s">
        <v>1199</v>
      </c>
      <c r="N408" s="9" t="s">
        <v>32</v>
      </c>
      <c r="O408" s="9" t="s">
        <v>99</v>
      </c>
      <c r="P408" s="9" t="s">
        <v>34</v>
      </c>
      <c r="Q408" s="10" t="str">
        <f>IF(IDMaster[[#This Row],[Consumption]]="Consumption",IDMaster[[#This Row],[Consumption]],IDMaster[[#This Row],[Basis]])</f>
        <v>Revenue</v>
      </c>
      <c r="R408" s="7" t="str">
        <f>IDMaster[[#This Row],[Supported Group]]&amp;"."&amp;IDMaster[[#This Row],[Basis]]</f>
        <v>Security.Revenue</v>
      </c>
      <c r="S408" s="11">
        <v>0.42185161428265983</v>
      </c>
      <c r="T408" s="12">
        <v>0.57814838571734017</v>
      </c>
      <c r="U408" s="12">
        <v>0</v>
      </c>
      <c r="V408" s="12">
        <v>0</v>
      </c>
      <c r="W408" s="12">
        <v>0</v>
      </c>
    </row>
    <row r="409" spans="1:23" x14ac:dyDescent="0.35">
      <c r="A409" s="7" t="s">
        <v>23</v>
      </c>
      <c r="B409" s="7" t="s">
        <v>1200</v>
      </c>
      <c r="C409" s="7" t="s">
        <v>656</v>
      </c>
      <c r="D409" s="8">
        <v>317439</v>
      </c>
      <c r="E409" s="7" t="s">
        <v>479</v>
      </c>
      <c r="F409" s="7" t="s">
        <v>1201</v>
      </c>
      <c r="G409" s="7" t="s">
        <v>48</v>
      </c>
      <c r="H409" s="7" t="s">
        <v>27</v>
      </c>
      <c r="I409" s="7" t="s">
        <v>28</v>
      </c>
      <c r="J409" s="7" t="s">
        <v>40</v>
      </c>
      <c r="K409" s="7" t="s">
        <v>41</v>
      </c>
      <c r="L409" s="7" t="s">
        <v>42</v>
      </c>
      <c r="M409" s="7" t="s">
        <v>43</v>
      </c>
      <c r="N409" s="9" t="s">
        <v>32</v>
      </c>
      <c r="O409" s="9" t="s">
        <v>33</v>
      </c>
      <c r="P409" s="9" t="s">
        <v>34</v>
      </c>
      <c r="Q409" s="10" t="str">
        <f>IF(IDMaster[[#This Row],[Consumption]]="Consumption",IDMaster[[#This Row],[Consumption]],IDMaster[[#This Row],[Basis]])</f>
        <v>Revenue</v>
      </c>
      <c r="R409" s="7" t="str">
        <f>IDMaster[[#This Row],[Supported Group]]&amp;"."&amp;IDMaster[[#This Row],[Basis]]</f>
        <v>IT Tools.Revenue</v>
      </c>
      <c r="S409" s="11">
        <v>0.42185161428265983</v>
      </c>
      <c r="T409" s="12">
        <v>0.57814838571734017</v>
      </c>
      <c r="U409" s="12">
        <v>0</v>
      </c>
      <c r="V409" s="12">
        <v>0</v>
      </c>
      <c r="W409" s="12">
        <v>0</v>
      </c>
    </row>
    <row r="410" spans="1:23" x14ac:dyDescent="0.35">
      <c r="A410" s="7" t="s">
        <v>23</v>
      </c>
      <c r="B410" s="7" t="s">
        <v>1202</v>
      </c>
      <c r="C410" s="15" t="s">
        <v>1203</v>
      </c>
      <c r="D410" s="8">
        <v>280617</v>
      </c>
      <c r="E410" s="7" t="s">
        <v>584</v>
      </c>
      <c r="F410" s="7" t="s">
        <v>1204</v>
      </c>
      <c r="G410" s="7" t="s">
        <v>48</v>
      </c>
      <c r="H410" s="7" t="s">
        <v>27</v>
      </c>
      <c r="I410" s="7" t="s">
        <v>28</v>
      </c>
      <c r="J410" s="7" t="s">
        <v>40</v>
      </c>
      <c r="K410" s="7" t="s">
        <v>80</v>
      </c>
      <c r="L410" s="7" t="s">
        <v>42</v>
      </c>
      <c r="M410" s="7" t="s">
        <v>43</v>
      </c>
      <c r="N410" s="9" t="s">
        <v>32</v>
      </c>
      <c r="O410" s="9" t="s">
        <v>99</v>
      </c>
      <c r="P410" s="9" t="s">
        <v>34</v>
      </c>
      <c r="Q410" s="10" t="str">
        <f>IF(IDMaster[[#This Row],[Consumption]]="Consumption",IDMaster[[#This Row],[Consumption]],IDMaster[[#This Row],[Basis]])</f>
        <v>Revenue</v>
      </c>
      <c r="R410" s="7" t="str">
        <f>IDMaster[[#This Row],[Supported Group]]&amp;"."&amp;IDMaster[[#This Row],[Basis]]</f>
        <v>Security.Revenue</v>
      </c>
      <c r="S410" s="11">
        <v>0.42185161428265983</v>
      </c>
      <c r="T410" s="12">
        <v>0.57814838571734017</v>
      </c>
      <c r="U410" s="12">
        <v>0</v>
      </c>
      <c r="V410" s="12">
        <v>0</v>
      </c>
      <c r="W410" s="12">
        <v>0</v>
      </c>
    </row>
    <row r="411" spans="1:23" x14ac:dyDescent="0.35">
      <c r="A411" s="7" t="s">
        <v>23</v>
      </c>
      <c r="B411" s="7" t="s">
        <v>1205</v>
      </c>
      <c r="C411" s="7" t="s">
        <v>1206</v>
      </c>
      <c r="D411" s="8">
        <v>362532</v>
      </c>
      <c r="E411" s="7" t="s">
        <v>46</v>
      </c>
      <c r="F411" s="7" t="s">
        <v>1207</v>
      </c>
      <c r="G411" s="7" t="s">
        <v>48</v>
      </c>
      <c r="H411" s="7" t="s">
        <v>27</v>
      </c>
      <c r="I411" s="7" t="s">
        <v>28</v>
      </c>
      <c r="J411" s="7" t="s">
        <v>40</v>
      </c>
      <c r="K411" s="7" t="s">
        <v>80</v>
      </c>
      <c r="L411" s="7" t="s">
        <v>42</v>
      </c>
      <c r="M411" s="7" t="s">
        <v>1208</v>
      </c>
      <c r="N411" s="9" t="s">
        <v>32</v>
      </c>
      <c r="O411" s="9" t="s">
        <v>99</v>
      </c>
      <c r="P411" s="9" t="s">
        <v>34</v>
      </c>
      <c r="Q411" s="10" t="str">
        <f>IF(IDMaster[[#This Row],[Consumption]]="Consumption",IDMaster[[#This Row],[Consumption]],IDMaster[[#This Row],[Basis]])</f>
        <v>Revenue</v>
      </c>
      <c r="R411" s="7" t="str">
        <f>IDMaster[[#This Row],[Supported Group]]&amp;"."&amp;IDMaster[[#This Row],[Basis]]</f>
        <v>Security.Revenue</v>
      </c>
      <c r="S411" s="11">
        <v>0.42185161428265983</v>
      </c>
      <c r="T411" s="12">
        <v>0.57814838571734017</v>
      </c>
      <c r="U411" s="12">
        <v>0</v>
      </c>
      <c r="V411" s="12">
        <v>0</v>
      </c>
      <c r="W411" s="12">
        <v>0</v>
      </c>
    </row>
    <row r="412" spans="1:23" x14ac:dyDescent="0.35">
      <c r="A412" s="7" t="s">
        <v>23</v>
      </c>
      <c r="B412" s="7" t="s">
        <v>1209</v>
      </c>
      <c r="C412" s="7" t="s">
        <v>1206</v>
      </c>
      <c r="D412" s="8">
        <v>362532</v>
      </c>
      <c r="E412" s="7" t="s">
        <v>46</v>
      </c>
      <c r="F412" s="7" t="s">
        <v>1210</v>
      </c>
      <c r="G412" s="7" t="s">
        <v>48</v>
      </c>
      <c r="H412" s="7" t="s">
        <v>27</v>
      </c>
      <c r="I412" s="7" t="s">
        <v>28</v>
      </c>
      <c r="J412" s="7" t="s">
        <v>40</v>
      </c>
      <c r="K412" s="7" t="s">
        <v>80</v>
      </c>
      <c r="L412" s="7" t="s">
        <v>42</v>
      </c>
      <c r="M412" s="7" t="s">
        <v>1208</v>
      </c>
      <c r="N412" s="9" t="s">
        <v>32</v>
      </c>
      <c r="O412" s="9" t="s">
        <v>407</v>
      </c>
      <c r="P412" s="9" t="s">
        <v>34</v>
      </c>
      <c r="Q412" s="10" t="str">
        <f>IF(IDMaster[[#This Row],[Consumption]]="Consumption",IDMaster[[#This Row],[Consumption]],IDMaster[[#This Row],[Basis]])</f>
        <v>Revenue</v>
      </c>
      <c r="R412" s="7" t="str">
        <f>IDMaster[[#This Row],[Supported Group]]&amp;"."&amp;IDMaster[[#This Row],[Basis]]</f>
        <v>IT Dev Tools.Revenue</v>
      </c>
      <c r="S412" s="11">
        <v>0.42185161428265983</v>
      </c>
      <c r="T412" s="12">
        <v>0.57814838571734017</v>
      </c>
      <c r="U412" s="12">
        <v>0</v>
      </c>
      <c r="V412" s="12">
        <v>0</v>
      </c>
      <c r="W412" s="12">
        <v>0</v>
      </c>
    </row>
    <row r="413" spans="1:23" x14ac:dyDescent="0.35">
      <c r="A413" s="7" t="s">
        <v>23</v>
      </c>
      <c r="B413" s="7" t="s">
        <v>1211</v>
      </c>
      <c r="C413" s="15" t="s">
        <v>957</v>
      </c>
      <c r="D413" s="8">
        <v>285743</v>
      </c>
      <c r="E413" s="7" t="s">
        <v>95</v>
      </c>
      <c r="F413" s="7" t="s">
        <v>1212</v>
      </c>
      <c r="G413" s="7" t="s">
        <v>97</v>
      </c>
      <c r="H413" s="7" t="s">
        <v>27</v>
      </c>
      <c r="I413" s="7" t="s">
        <v>28</v>
      </c>
      <c r="J413" s="7" t="s">
        <v>40</v>
      </c>
      <c r="K413" s="7" t="s">
        <v>80</v>
      </c>
      <c r="L413" s="7" t="s">
        <v>42</v>
      </c>
      <c r="M413" s="7" t="s">
        <v>43</v>
      </c>
      <c r="N413" s="9" t="s">
        <v>32</v>
      </c>
      <c r="O413" s="9" t="s">
        <v>99</v>
      </c>
      <c r="P413" s="9" t="s">
        <v>34</v>
      </c>
      <c r="Q413" s="10" t="str">
        <f>IF(IDMaster[[#This Row],[Consumption]]="Consumption",IDMaster[[#This Row],[Consumption]],IDMaster[[#This Row],[Basis]])</f>
        <v>Revenue</v>
      </c>
      <c r="R413" s="7" t="str">
        <f>IDMaster[[#This Row],[Supported Group]]&amp;"."&amp;IDMaster[[#This Row],[Basis]]</f>
        <v>Security.Revenue</v>
      </c>
      <c r="S413" s="11">
        <v>0.42185161428265983</v>
      </c>
      <c r="T413" s="12">
        <v>0.57814838571734017</v>
      </c>
      <c r="U413" s="12">
        <v>0</v>
      </c>
      <c r="V413" s="12">
        <v>0</v>
      </c>
      <c r="W413" s="12">
        <v>0</v>
      </c>
    </row>
    <row r="414" spans="1:23" x14ac:dyDescent="0.35">
      <c r="A414" s="7" t="s">
        <v>23</v>
      </c>
      <c r="B414" s="7" t="s">
        <v>1213</v>
      </c>
      <c r="C414" s="7" t="s">
        <v>1214</v>
      </c>
      <c r="D414" s="8">
        <v>239908</v>
      </c>
      <c r="E414" s="7" t="s">
        <v>95</v>
      </c>
      <c r="F414" s="7" t="s">
        <v>1215</v>
      </c>
      <c r="G414" s="7" t="s">
        <v>97</v>
      </c>
      <c r="H414" s="7" t="s">
        <v>27</v>
      </c>
      <c r="I414" s="7" t="s">
        <v>28</v>
      </c>
      <c r="J414" s="7" t="s">
        <v>40</v>
      </c>
      <c r="K414" s="7" t="s">
        <v>41</v>
      </c>
      <c r="L414" s="7" t="s">
        <v>42</v>
      </c>
      <c r="M414" s="7" t="s">
        <v>43</v>
      </c>
      <c r="N414" s="9" t="s">
        <v>32</v>
      </c>
      <c r="O414" s="9" t="s">
        <v>99</v>
      </c>
      <c r="P414" s="9" t="s">
        <v>34</v>
      </c>
      <c r="Q414" s="10" t="str">
        <f>IF(IDMaster[[#This Row],[Consumption]]="Consumption",IDMaster[[#This Row],[Consumption]],IDMaster[[#This Row],[Basis]])</f>
        <v>Revenue</v>
      </c>
      <c r="R414" s="7" t="str">
        <f>IDMaster[[#This Row],[Supported Group]]&amp;"."&amp;IDMaster[[#This Row],[Basis]]</f>
        <v>Security.Revenue</v>
      </c>
      <c r="S414" s="11">
        <v>0.42185161428265983</v>
      </c>
      <c r="T414" s="12">
        <v>0.57814838571734017</v>
      </c>
      <c r="U414" s="12">
        <v>0</v>
      </c>
      <c r="V414" s="12">
        <v>0</v>
      </c>
      <c r="W414" s="12">
        <v>0</v>
      </c>
    </row>
    <row r="415" spans="1:23" x14ac:dyDescent="0.35">
      <c r="A415" s="7" t="s">
        <v>23</v>
      </c>
      <c r="B415" s="7" t="s">
        <v>1216</v>
      </c>
      <c r="C415" s="7" t="s">
        <v>1217</v>
      </c>
      <c r="D415" s="8">
        <v>303927</v>
      </c>
      <c r="E415" s="7" t="s">
        <v>95</v>
      </c>
      <c r="F415" s="7" t="s">
        <v>1218</v>
      </c>
      <c r="G415" s="7" t="s">
        <v>97</v>
      </c>
      <c r="H415" s="7" t="s">
        <v>27</v>
      </c>
      <c r="I415" s="7" t="s">
        <v>28</v>
      </c>
      <c r="J415" s="7" t="s">
        <v>40</v>
      </c>
      <c r="K415" s="7" t="s">
        <v>80</v>
      </c>
      <c r="L415" s="7" t="s">
        <v>42</v>
      </c>
      <c r="M415" s="7" t="s">
        <v>43</v>
      </c>
      <c r="N415" s="9" t="s">
        <v>32</v>
      </c>
      <c r="O415" s="9" t="s">
        <v>99</v>
      </c>
      <c r="P415" s="9" t="s">
        <v>34</v>
      </c>
      <c r="Q415" s="10" t="str">
        <f>IF(IDMaster[[#This Row],[Consumption]]="Consumption",IDMaster[[#This Row],[Consumption]],IDMaster[[#This Row],[Basis]])</f>
        <v>Revenue</v>
      </c>
      <c r="R415" s="7" t="str">
        <f>IDMaster[[#This Row],[Supported Group]]&amp;"."&amp;IDMaster[[#This Row],[Basis]]</f>
        <v>Security.Revenue</v>
      </c>
      <c r="S415" s="11">
        <v>0.42185161428265983</v>
      </c>
      <c r="T415" s="12">
        <v>0.57814838571734017</v>
      </c>
      <c r="U415" s="12">
        <v>0</v>
      </c>
      <c r="V415" s="12">
        <v>0</v>
      </c>
      <c r="W415" s="12">
        <v>0</v>
      </c>
    </row>
    <row r="416" spans="1:23" x14ac:dyDescent="0.35">
      <c r="A416" s="7" t="s">
        <v>23</v>
      </c>
      <c r="B416" s="7" t="s">
        <v>1219</v>
      </c>
      <c r="C416" s="7" t="s">
        <v>843</v>
      </c>
      <c r="D416" s="8">
        <v>356408</v>
      </c>
      <c r="E416" s="7" t="s">
        <v>95</v>
      </c>
      <c r="F416" s="7" t="s">
        <v>844</v>
      </c>
      <c r="G416" s="7" t="s">
        <v>97</v>
      </c>
      <c r="H416" s="7" t="s">
        <v>27</v>
      </c>
      <c r="I416" s="7" t="s">
        <v>28</v>
      </c>
      <c r="J416" s="7" t="s">
        <v>137</v>
      </c>
      <c r="K416" s="7" t="s">
        <v>80</v>
      </c>
      <c r="L416" s="7" t="s">
        <v>42</v>
      </c>
      <c r="M416" s="7" t="s">
        <v>844</v>
      </c>
      <c r="N416" s="9" t="s">
        <v>32</v>
      </c>
      <c r="O416" s="9" t="s">
        <v>99</v>
      </c>
      <c r="P416" s="9" t="s">
        <v>34</v>
      </c>
      <c r="Q416" s="10" t="str">
        <f>IF(IDMaster[[#This Row],[Consumption]]="Consumption",IDMaster[[#This Row],[Consumption]],IDMaster[[#This Row],[Basis]])</f>
        <v>Revenue</v>
      </c>
      <c r="R416" s="7" t="str">
        <f>IDMaster[[#This Row],[Supported Group]]&amp;"."&amp;IDMaster[[#This Row],[Basis]]</f>
        <v>Security.Revenue</v>
      </c>
      <c r="S416" s="11">
        <v>0.42185161428265983</v>
      </c>
      <c r="T416" s="12">
        <v>0.57814838571734017</v>
      </c>
      <c r="U416" s="12">
        <v>0</v>
      </c>
      <c r="V416" s="12">
        <v>0</v>
      </c>
      <c r="W416" s="12">
        <v>0</v>
      </c>
    </row>
    <row r="417" spans="1:23" x14ac:dyDescent="0.35">
      <c r="A417" s="7" t="s">
        <v>23</v>
      </c>
      <c r="B417" s="7" t="s">
        <v>1220</v>
      </c>
      <c r="C417" s="7" t="s">
        <v>598</v>
      </c>
      <c r="D417" s="8">
        <v>196781</v>
      </c>
      <c r="E417" s="7" t="s">
        <v>46</v>
      </c>
      <c r="F417" s="7" t="s">
        <v>1221</v>
      </c>
      <c r="G417" s="7" t="s">
        <v>48</v>
      </c>
      <c r="H417" s="7" t="s">
        <v>27</v>
      </c>
      <c r="I417" s="7" t="s">
        <v>28</v>
      </c>
      <c r="J417" s="7" t="s">
        <v>40</v>
      </c>
      <c r="K417" s="7" t="s">
        <v>80</v>
      </c>
      <c r="L417" s="7" t="s">
        <v>42</v>
      </c>
      <c r="M417" s="7" t="s">
        <v>1222</v>
      </c>
      <c r="N417" s="9" t="s">
        <v>92</v>
      </c>
      <c r="O417" s="9" t="s">
        <v>33</v>
      </c>
      <c r="P417" s="9" t="s">
        <v>34</v>
      </c>
      <c r="Q417" s="10" t="str">
        <f>IF(IDMaster[[#This Row],[Consumption]]="Consumption",IDMaster[[#This Row],[Consumption]],IDMaster[[#This Row],[Basis]])</f>
        <v>Total Headcount</v>
      </c>
      <c r="R417" s="7" t="str">
        <f>IDMaster[[#This Row],[Supported Group]]&amp;"."&amp;IDMaster[[#This Row],[Basis]]</f>
        <v>IT Tools.Total Headcount</v>
      </c>
      <c r="S417" s="11">
        <v>0.69106036166058238</v>
      </c>
      <c r="T417" s="12">
        <v>0.14347567705238135</v>
      </c>
      <c r="U417" s="12">
        <v>0</v>
      </c>
      <c r="V417" s="12">
        <v>0</v>
      </c>
      <c r="W417" s="12">
        <v>0.16546396128703625</v>
      </c>
    </row>
    <row r="418" spans="1:23" x14ac:dyDescent="0.35">
      <c r="A418" s="7" t="s">
        <v>23</v>
      </c>
      <c r="B418" s="7" t="s">
        <v>1223</v>
      </c>
      <c r="C418" s="7" t="s">
        <v>598</v>
      </c>
      <c r="D418" s="8">
        <v>196781</v>
      </c>
      <c r="E418" s="7" t="s">
        <v>46</v>
      </c>
      <c r="F418" s="7" t="s">
        <v>1224</v>
      </c>
      <c r="G418" s="7" t="s">
        <v>48</v>
      </c>
      <c r="H418" s="7" t="s">
        <v>27</v>
      </c>
      <c r="I418" s="7" t="s">
        <v>28</v>
      </c>
      <c r="J418" s="7" t="s">
        <v>40</v>
      </c>
      <c r="K418" s="7" t="s">
        <v>80</v>
      </c>
      <c r="L418" s="7" t="s">
        <v>42</v>
      </c>
      <c r="M418" s="7" t="s">
        <v>1225</v>
      </c>
      <c r="N418" s="9" t="s">
        <v>92</v>
      </c>
      <c r="O418" s="9" t="s">
        <v>44</v>
      </c>
      <c r="P418" s="9" t="s">
        <v>34</v>
      </c>
      <c r="Q418" s="10" t="str">
        <f>IF(IDMaster[[#This Row],[Consumption]]="Consumption",IDMaster[[#This Row],[Consumption]],IDMaster[[#This Row],[Basis]])</f>
        <v>Total Headcount</v>
      </c>
      <c r="R418" s="7" t="str">
        <f>IDMaster[[#This Row],[Supported Group]]&amp;"."&amp;IDMaster[[#This Row],[Basis]]</f>
        <v>Corporate.Total Headcount</v>
      </c>
      <c r="S418" s="11">
        <v>0.69106036166058238</v>
      </c>
      <c r="T418" s="12">
        <v>0.14347567705238135</v>
      </c>
      <c r="U418" s="12">
        <v>0</v>
      </c>
      <c r="V418" s="12">
        <v>0</v>
      </c>
      <c r="W418" s="12">
        <v>0.16546396128703625</v>
      </c>
    </row>
    <row r="419" spans="1:23" x14ac:dyDescent="0.35">
      <c r="A419" s="7" t="s">
        <v>23</v>
      </c>
      <c r="B419" s="7" t="s">
        <v>1226</v>
      </c>
      <c r="C419" s="7" t="s">
        <v>598</v>
      </c>
      <c r="D419" s="8">
        <v>196781</v>
      </c>
      <c r="E419" s="7" t="s">
        <v>584</v>
      </c>
      <c r="F419" s="7" t="s">
        <v>1227</v>
      </c>
      <c r="G419" s="7" t="s">
        <v>48</v>
      </c>
      <c r="H419" s="7" t="s">
        <v>27</v>
      </c>
      <c r="I419" s="7" t="s">
        <v>28</v>
      </c>
      <c r="J419" s="7" t="s">
        <v>40</v>
      </c>
      <c r="K419" s="7" t="s">
        <v>80</v>
      </c>
      <c r="L419" s="7" t="s">
        <v>42</v>
      </c>
      <c r="M419" s="7" t="s">
        <v>969</v>
      </c>
      <c r="N419" s="9" t="s">
        <v>92</v>
      </c>
      <c r="O419" s="9" t="s">
        <v>44</v>
      </c>
      <c r="P419" s="9" t="s">
        <v>34</v>
      </c>
      <c r="Q419" s="10" t="str">
        <f>IF(IDMaster[[#This Row],[Consumption]]="Consumption",IDMaster[[#This Row],[Consumption]],IDMaster[[#This Row],[Basis]])</f>
        <v>Total Headcount</v>
      </c>
      <c r="R419" s="7" t="str">
        <f>IDMaster[[#This Row],[Supported Group]]&amp;"."&amp;IDMaster[[#This Row],[Basis]]</f>
        <v>Corporate.Total Headcount</v>
      </c>
      <c r="S419" s="11">
        <v>0.69106036166058238</v>
      </c>
      <c r="T419" s="12">
        <v>0.14347567705238135</v>
      </c>
      <c r="U419" s="12">
        <v>0</v>
      </c>
      <c r="V419" s="12">
        <v>0</v>
      </c>
      <c r="W419" s="12">
        <v>0.16546396128703625</v>
      </c>
    </row>
    <row r="420" spans="1:23" x14ac:dyDescent="0.35">
      <c r="A420" s="7" t="s">
        <v>23</v>
      </c>
      <c r="B420" s="7" t="s">
        <v>1228</v>
      </c>
      <c r="C420" s="7" t="s">
        <v>598</v>
      </c>
      <c r="D420" s="8">
        <v>196781</v>
      </c>
      <c r="E420" s="7" t="s">
        <v>584</v>
      </c>
      <c r="F420" s="7" t="s">
        <v>1229</v>
      </c>
      <c r="G420" s="7" t="s">
        <v>48</v>
      </c>
      <c r="H420" s="7" t="s">
        <v>27</v>
      </c>
      <c r="I420" s="7" t="s">
        <v>28</v>
      </c>
      <c r="J420" s="7" t="s">
        <v>40</v>
      </c>
      <c r="K420" s="7" t="s">
        <v>80</v>
      </c>
      <c r="L420" s="7" t="s">
        <v>42</v>
      </c>
      <c r="M420" s="7" t="s">
        <v>43</v>
      </c>
      <c r="N420" s="9" t="s">
        <v>92</v>
      </c>
      <c r="O420" s="9" t="s">
        <v>863</v>
      </c>
      <c r="P420" s="9" t="s">
        <v>34</v>
      </c>
      <c r="Q420" s="10" t="str">
        <f>IF(IDMaster[[#This Row],[Consumption]]="Consumption",IDMaster[[#This Row],[Consumption]],IDMaster[[#This Row],[Basis]])</f>
        <v>Total Headcount</v>
      </c>
      <c r="R420" s="7" t="str">
        <f>IDMaster[[#This Row],[Supported Group]]&amp;"."&amp;IDMaster[[#This Row],[Basis]]</f>
        <v>Finance.Total Headcount</v>
      </c>
      <c r="S420" s="11">
        <v>0.69106036166058238</v>
      </c>
      <c r="T420" s="12">
        <v>0.14347567705238135</v>
      </c>
      <c r="U420" s="12">
        <v>0</v>
      </c>
      <c r="V420" s="12">
        <v>0</v>
      </c>
      <c r="W420" s="12">
        <v>0.16546396128703625</v>
      </c>
    </row>
    <row r="421" spans="1:23" x14ac:dyDescent="0.35">
      <c r="A421" s="7" t="s">
        <v>23</v>
      </c>
      <c r="B421" s="7" t="s">
        <v>1230</v>
      </c>
      <c r="C421" s="7" t="s">
        <v>598</v>
      </c>
      <c r="D421" s="8">
        <v>196781</v>
      </c>
      <c r="E421" s="7" t="s">
        <v>169</v>
      </c>
      <c r="F421" s="7" t="s">
        <v>1231</v>
      </c>
      <c r="G421" s="7" t="s">
        <v>72</v>
      </c>
      <c r="H421" s="7" t="s">
        <v>27</v>
      </c>
      <c r="I421" s="7" t="s">
        <v>28</v>
      </c>
      <c r="J421" s="7" t="s">
        <v>40</v>
      </c>
      <c r="K421" s="7" t="s">
        <v>80</v>
      </c>
      <c r="L421" s="7" t="s">
        <v>42</v>
      </c>
      <c r="M421" s="7" t="s">
        <v>1232</v>
      </c>
      <c r="N421" s="9" t="s">
        <v>92</v>
      </c>
      <c r="O421" s="9" t="s">
        <v>863</v>
      </c>
      <c r="P421" s="9" t="s">
        <v>34</v>
      </c>
      <c r="Q421" s="10" t="str">
        <f>IF(IDMaster[[#This Row],[Consumption]]="Consumption",IDMaster[[#This Row],[Consumption]],IDMaster[[#This Row],[Basis]])</f>
        <v>Total Headcount</v>
      </c>
      <c r="R421" s="7" t="str">
        <f>IDMaster[[#This Row],[Supported Group]]&amp;"."&amp;IDMaster[[#This Row],[Basis]]</f>
        <v>Finance.Total Headcount</v>
      </c>
      <c r="S421" s="11">
        <v>0.69106036166058238</v>
      </c>
      <c r="T421" s="12">
        <v>0.14347567705238135</v>
      </c>
      <c r="U421" s="12">
        <v>0</v>
      </c>
      <c r="V421" s="12">
        <v>0</v>
      </c>
      <c r="W421" s="12">
        <v>0.16546396128703625</v>
      </c>
    </row>
    <row r="422" spans="1:23" x14ac:dyDescent="0.35">
      <c r="A422" s="7" t="s">
        <v>23</v>
      </c>
      <c r="B422" s="7" t="s">
        <v>1233</v>
      </c>
      <c r="C422" s="7" t="s">
        <v>598</v>
      </c>
      <c r="D422" s="8">
        <v>196781</v>
      </c>
      <c r="E422" s="7" t="s">
        <v>46</v>
      </c>
      <c r="F422" s="7" t="s">
        <v>1234</v>
      </c>
      <c r="G422" s="7" t="s">
        <v>48</v>
      </c>
      <c r="H422" s="7" t="s">
        <v>27</v>
      </c>
      <c r="I422" s="7" t="s">
        <v>28</v>
      </c>
      <c r="J422" s="7" t="s">
        <v>40</v>
      </c>
      <c r="K422" s="7" t="s">
        <v>80</v>
      </c>
      <c r="L422" s="7" t="s">
        <v>42</v>
      </c>
      <c r="M422" s="7" t="s">
        <v>1235</v>
      </c>
      <c r="N422" s="9" t="s">
        <v>92</v>
      </c>
      <c r="O422" s="9" t="s">
        <v>33</v>
      </c>
      <c r="P422" s="9" t="s">
        <v>34</v>
      </c>
      <c r="Q422" s="10" t="str">
        <f>IF(IDMaster[[#This Row],[Consumption]]="Consumption",IDMaster[[#This Row],[Consumption]],IDMaster[[#This Row],[Basis]])</f>
        <v>Total Headcount</v>
      </c>
      <c r="R422" s="7" t="str">
        <f>IDMaster[[#This Row],[Supported Group]]&amp;"."&amp;IDMaster[[#This Row],[Basis]]</f>
        <v>IT Tools.Total Headcount</v>
      </c>
      <c r="S422" s="11">
        <v>0.69106036166058238</v>
      </c>
      <c r="T422" s="12">
        <v>0.14347567705238135</v>
      </c>
      <c r="U422" s="12">
        <v>0</v>
      </c>
      <c r="V422" s="12">
        <v>0</v>
      </c>
      <c r="W422" s="12">
        <v>0.16546396128703625</v>
      </c>
    </row>
    <row r="423" spans="1:23" x14ac:dyDescent="0.35">
      <c r="A423" s="7" t="s">
        <v>23</v>
      </c>
      <c r="B423" s="7" t="s">
        <v>1236</v>
      </c>
      <c r="C423" s="7" t="s">
        <v>1237</v>
      </c>
      <c r="D423" s="8">
        <v>15321</v>
      </c>
      <c r="E423" s="7" t="s">
        <v>46</v>
      </c>
      <c r="F423" s="7" t="s">
        <v>1238</v>
      </c>
      <c r="G423" s="7" t="s">
        <v>48</v>
      </c>
      <c r="H423" s="7" t="s">
        <v>27</v>
      </c>
      <c r="I423" s="7" t="s">
        <v>28</v>
      </c>
      <c r="J423" s="7" t="s">
        <v>40</v>
      </c>
      <c r="K423" s="7" t="s">
        <v>80</v>
      </c>
      <c r="L423" s="7" t="s">
        <v>42</v>
      </c>
      <c r="M423" s="7" t="s">
        <v>1239</v>
      </c>
      <c r="N423" s="9" t="s">
        <v>92</v>
      </c>
      <c r="O423" s="9" t="s">
        <v>33</v>
      </c>
      <c r="P423" s="9" t="s">
        <v>34</v>
      </c>
      <c r="Q423" s="10" t="str">
        <f>IF(IDMaster[[#This Row],[Consumption]]="Consumption",IDMaster[[#This Row],[Consumption]],IDMaster[[#This Row],[Basis]])</f>
        <v>Total Headcount</v>
      </c>
      <c r="R423" s="7" t="str">
        <f>IDMaster[[#This Row],[Supported Group]]&amp;"."&amp;IDMaster[[#This Row],[Basis]]</f>
        <v>IT Tools.Total Headcount</v>
      </c>
      <c r="S423" s="11">
        <v>0.69106036166058238</v>
      </c>
      <c r="T423" s="12">
        <v>0.14347567705238135</v>
      </c>
      <c r="U423" s="12">
        <v>0</v>
      </c>
      <c r="V423" s="12">
        <v>0</v>
      </c>
      <c r="W423" s="12">
        <v>0.16546396128703625</v>
      </c>
    </row>
    <row r="424" spans="1:23" x14ac:dyDescent="0.35">
      <c r="A424" s="7" t="s">
        <v>23</v>
      </c>
      <c r="B424" s="7" t="s">
        <v>1240</v>
      </c>
      <c r="C424" s="15" t="s">
        <v>1241</v>
      </c>
      <c r="D424" s="8">
        <v>224376</v>
      </c>
      <c r="E424" s="7" t="s">
        <v>559</v>
      </c>
      <c r="F424" s="7" t="s">
        <v>1227</v>
      </c>
      <c r="G424" s="7" t="s">
        <v>48</v>
      </c>
      <c r="H424" s="7" t="s">
        <v>27</v>
      </c>
      <c r="I424" s="7" t="s">
        <v>28</v>
      </c>
      <c r="J424" s="7" t="s">
        <v>40</v>
      </c>
      <c r="K424" s="7" t="s">
        <v>80</v>
      </c>
      <c r="L424" s="7" t="s">
        <v>42</v>
      </c>
      <c r="M424" s="7" t="s">
        <v>969</v>
      </c>
      <c r="N424" s="9" t="s">
        <v>32</v>
      </c>
      <c r="O424" s="9" t="s">
        <v>863</v>
      </c>
      <c r="P424" s="9" t="s">
        <v>34</v>
      </c>
      <c r="Q424" s="10" t="str">
        <f>IF(IDMaster[[#This Row],[Consumption]]="Consumption",IDMaster[[#This Row],[Consumption]],IDMaster[[#This Row],[Basis]])</f>
        <v>Revenue</v>
      </c>
      <c r="R424" s="7" t="str">
        <f>IDMaster[[#This Row],[Supported Group]]&amp;"."&amp;IDMaster[[#This Row],[Basis]]</f>
        <v>Finance.Revenue</v>
      </c>
      <c r="S424" s="11">
        <v>0.42185161428265983</v>
      </c>
      <c r="T424" s="12">
        <v>0.57814838571734017</v>
      </c>
      <c r="U424" s="12">
        <v>0</v>
      </c>
      <c r="V424" s="12">
        <v>0</v>
      </c>
      <c r="W424" s="12">
        <v>0</v>
      </c>
    </row>
    <row r="425" spans="1:23" x14ac:dyDescent="0.35">
      <c r="A425" s="7" t="s">
        <v>23</v>
      </c>
      <c r="B425" s="7" t="s">
        <v>1242</v>
      </c>
      <c r="C425" s="7" t="s">
        <v>1241</v>
      </c>
      <c r="D425" s="8">
        <v>224376</v>
      </c>
      <c r="E425" s="7" t="s">
        <v>1243</v>
      </c>
      <c r="F425" s="7" t="s">
        <v>1227</v>
      </c>
      <c r="G425" s="7" t="s">
        <v>72</v>
      </c>
      <c r="H425" s="7" t="s">
        <v>27</v>
      </c>
      <c r="I425" s="7" t="s">
        <v>28</v>
      </c>
      <c r="J425" s="7" t="s">
        <v>40</v>
      </c>
      <c r="K425" s="7" t="s">
        <v>80</v>
      </c>
      <c r="L425" s="7" t="s">
        <v>42</v>
      </c>
      <c r="M425" s="7" t="s">
        <v>969</v>
      </c>
      <c r="N425" s="9" t="s">
        <v>32</v>
      </c>
      <c r="O425" s="9" t="s">
        <v>863</v>
      </c>
      <c r="P425" s="9" t="s">
        <v>34</v>
      </c>
      <c r="Q425" s="10" t="str">
        <f>IF(IDMaster[[#This Row],[Consumption]]="Consumption",IDMaster[[#This Row],[Consumption]],IDMaster[[#This Row],[Basis]])</f>
        <v>Revenue</v>
      </c>
      <c r="R425" s="7" t="str">
        <f>IDMaster[[#This Row],[Supported Group]]&amp;"."&amp;IDMaster[[#This Row],[Basis]]</f>
        <v>Finance.Revenue</v>
      </c>
      <c r="S425" s="11">
        <v>0.42185161428265983</v>
      </c>
      <c r="T425" s="12">
        <v>0.57814838571734017</v>
      </c>
      <c r="U425" s="12">
        <v>0</v>
      </c>
      <c r="V425" s="12">
        <v>0</v>
      </c>
      <c r="W425" s="12">
        <v>0</v>
      </c>
    </row>
    <row r="426" spans="1:23" x14ac:dyDescent="0.35">
      <c r="A426" s="7" t="s">
        <v>23</v>
      </c>
      <c r="B426" s="7" t="s">
        <v>1244</v>
      </c>
      <c r="C426" s="7" t="s">
        <v>1245</v>
      </c>
      <c r="D426" s="8">
        <v>236536</v>
      </c>
      <c r="E426" s="7" t="s">
        <v>46</v>
      </c>
      <c r="F426" s="7" t="s">
        <v>1246</v>
      </c>
      <c r="G426" s="7" t="s">
        <v>48</v>
      </c>
      <c r="H426" s="7" t="s">
        <v>27</v>
      </c>
      <c r="I426" s="7" t="s">
        <v>28</v>
      </c>
      <c r="J426" s="7" t="s">
        <v>40</v>
      </c>
      <c r="K426" s="7" t="s">
        <v>80</v>
      </c>
      <c r="L426" s="7" t="s">
        <v>42</v>
      </c>
      <c r="M426" s="7" t="s">
        <v>1247</v>
      </c>
      <c r="N426" s="9" t="s">
        <v>92</v>
      </c>
      <c r="O426" s="9" t="s">
        <v>863</v>
      </c>
      <c r="P426" s="9" t="s">
        <v>34</v>
      </c>
      <c r="Q426" s="10" t="str">
        <f>IF(IDMaster[[#This Row],[Consumption]]="Consumption",IDMaster[[#This Row],[Consumption]],IDMaster[[#This Row],[Basis]])</f>
        <v>Total Headcount</v>
      </c>
      <c r="R426" s="7" t="str">
        <f>IDMaster[[#This Row],[Supported Group]]&amp;"."&amp;IDMaster[[#This Row],[Basis]]</f>
        <v>Finance.Total Headcount</v>
      </c>
      <c r="S426" s="11">
        <v>0.69106036166058238</v>
      </c>
      <c r="T426" s="12">
        <v>0.14347567705238135</v>
      </c>
      <c r="U426" s="12">
        <v>0</v>
      </c>
      <c r="V426" s="12">
        <v>0</v>
      </c>
      <c r="W426" s="12">
        <v>0.16546396128703625</v>
      </c>
    </row>
    <row r="427" spans="1:23" x14ac:dyDescent="0.35">
      <c r="A427" s="7" t="s">
        <v>23</v>
      </c>
      <c r="B427" s="7" t="s">
        <v>1248</v>
      </c>
      <c r="C427" s="7" t="s">
        <v>1249</v>
      </c>
      <c r="D427" s="8">
        <v>288757</v>
      </c>
      <c r="E427" s="7" t="s">
        <v>46</v>
      </c>
      <c r="F427" s="7" t="s">
        <v>1250</v>
      </c>
      <c r="G427" s="7" t="s">
        <v>48</v>
      </c>
      <c r="H427" s="7" t="s">
        <v>27</v>
      </c>
      <c r="I427" s="7" t="s">
        <v>28</v>
      </c>
      <c r="J427" s="7" t="s">
        <v>40</v>
      </c>
      <c r="K427" s="7" t="s">
        <v>41</v>
      </c>
      <c r="L427" s="7" t="s">
        <v>42</v>
      </c>
      <c r="M427" s="7" t="s">
        <v>1251</v>
      </c>
      <c r="N427" s="9" t="s">
        <v>32</v>
      </c>
      <c r="O427" s="9" t="s">
        <v>33</v>
      </c>
      <c r="P427" s="9" t="s">
        <v>34</v>
      </c>
      <c r="Q427" s="10" t="str">
        <f>IF(IDMaster[[#This Row],[Consumption]]="Consumption",IDMaster[[#This Row],[Consumption]],IDMaster[[#This Row],[Basis]])</f>
        <v>Revenue</v>
      </c>
      <c r="R427" s="7" t="str">
        <f>IDMaster[[#This Row],[Supported Group]]&amp;"."&amp;IDMaster[[#This Row],[Basis]]</f>
        <v>IT Tools.Revenue</v>
      </c>
      <c r="S427" s="11">
        <v>0.42185161428265983</v>
      </c>
      <c r="T427" s="12">
        <v>0.57814838571734017</v>
      </c>
      <c r="U427" s="12">
        <v>0</v>
      </c>
      <c r="V427" s="12">
        <v>0</v>
      </c>
      <c r="W427" s="12">
        <v>0</v>
      </c>
    </row>
    <row r="428" spans="1:23" x14ac:dyDescent="0.35">
      <c r="A428" s="7" t="s">
        <v>23</v>
      </c>
      <c r="B428" s="7" t="s">
        <v>1252</v>
      </c>
      <c r="C428" s="7" t="s">
        <v>1253</v>
      </c>
      <c r="D428" s="8">
        <v>111660</v>
      </c>
      <c r="E428" s="7" t="s">
        <v>559</v>
      </c>
      <c r="F428" s="7" t="s">
        <v>1254</v>
      </c>
      <c r="G428" s="7" t="s">
        <v>48</v>
      </c>
      <c r="H428" s="7" t="s">
        <v>27</v>
      </c>
      <c r="I428" s="7" t="s">
        <v>28</v>
      </c>
      <c r="J428" s="7" t="s">
        <v>40</v>
      </c>
      <c r="K428" s="7" t="s">
        <v>80</v>
      </c>
      <c r="L428" s="7" t="s">
        <v>42</v>
      </c>
      <c r="M428" s="7" t="s">
        <v>1255</v>
      </c>
      <c r="N428" s="9" t="s">
        <v>32</v>
      </c>
      <c r="O428" s="9" t="s">
        <v>33</v>
      </c>
      <c r="P428" s="9" t="s">
        <v>34</v>
      </c>
      <c r="Q428" s="10" t="str">
        <f>IF(IDMaster[[#This Row],[Consumption]]="Consumption",IDMaster[[#This Row],[Consumption]],IDMaster[[#This Row],[Basis]])</f>
        <v>Revenue</v>
      </c>
      <c r="R428" s="7" t="str">
        <f>IDMaster[[#This Row],[Supported Group]]&amp;"."&amp;IDMaster[[#This Row],[Basis]]</f>
        <v>IT Tools.Revenue</v>
      </c>
      <c r="S428" s="11">
        <v>0.42185161428265983</v>
      </c>
      <c r="T428" s="12">
        <v>0.57814838571734017</v>
      </c>
      <c r="U428" s="12">
        <v>0</v>
      </c>
      <c r="V428" s="12">
        <v>0</v>
      </c>
      <c r="W428" s="12">
        <v>0</v>
      </c>
    </row>
    <row r="429" spans="1:23" x14ac:dyDescent="0.35">
      <c r="A429" s="7" t="s">
        <v>23</v>
      </c>
      <c r="B429" s="7" t="s">
        <v>1256</v>
      </c>
      <c r="C429" s="7" t="s">
        <v>1257</v>
      </c>
      <c r="D429" s="8">
        <v>109548</v>
      </c>
      <c r="E429" s="7" t="s">
        <v>46</v>
      </c>
      <c r="F429" s="7" t="s">
        <v>1258</v>
      </c>
      <c r="G429" s="7" t="s">
        <v>48</v>
      </c>
      <c r="H429" s="7" t="s">
        <v>27</v>
      </c>
      <c r="I429" s="7" t="s">
        <v>28</v>
      </c>
      <c r="J429" s="7" t="s">
        <v>40</v>
      </c>
      <c r="K429" s="7" t="s">
        <v>80</v>
      </c>
      <c r="L429" s="7" t="s">
        <v>42</v>
      </c>
      <c r="M429" s="7" t="s">
        <v>1259</v>
      </c>
      <c r="N429" s="9" t="s">
        <v>92</v>
      </c>
      <c r="O429" s="9" t="s">
        <v>863</v>
      </c>
      <c r="P429" s="9" t="s">
        <v>34</v>
      </c>
      <c r="Q429" s="10" t="str">
        <f>IF(IDMaster[[#This Row],[Consumption]]="Consumption",IDMaster[[#This Row],[Consumption]],IDMaster[[#This Row],[Basis]])</f>
        <v>Total Headcount</v>
      </c>
      <c r="R429" s="7" t="str">
        <f>IDMaster[[#This Row],[Supported Group]]&amp;"."&amp;IDMaster[[#This Row],[Basis]]</f>
        <v>Finance.Total Headcount</v>
      </c>
      <c r="S429" s="11">
        <v>0.69106036166058238</v>
      </c>
      <c r="T429" s="12">
        <v>0.14347567705238135</v>
      </c>
      <c r="U429" s="12">
        <v>0</v>
      </c>
      <c r="V429" s="12">
        <v>0</v>
      </c>
      <c r="W429" s="12">
        <v>0.16546396128703625</v>
      </c>
    </row>
    <row r="430" spans="1:23" x14ac:dyDescent="0.35">
      <c r="A430" s="7" t="s">
        <v>23</v>
      </c>
      <c r="B430" s="7" t="s">
        <v>1260</v>
      </c>
      <c r="C430" s="7" t="s">
        <v>1261</v>
      </c>
      <c r="D430" s="8">
        <v>95123</v>
      </c>
      <c r="E430" s="7" t="s">
        <v>1243</v>
      </c>
      <c r="F430" s="7" t="s">
        <v>1262</v>
      </c>
      <c r="G430" s="7" t="s">
        <v>72</v>
      </c>
      <c r="H430" s="7" t="s">
        <v>27</v>
      </c>
      <c r="I430" s="7" t="s">
        <v>28</v>
      </c>
      <c r="J430" s="7" t="s">
        <v>40</v>
      </c>
      <c r="K430" s="7" t="s">
        <v>80</v>
      </c>
      <c r="L430" s="7" t="s">
        <v>42</v>
      </c>
      <c r="M430" s="7" t="s">
        <v>1263</v>
      </c>
      <c r="N430" s="9" t="s">
        <v>92</v>
      </c>
      <c r="O430" s="9" t="s">
        <v>863</v>
      </c>
      <c r="P430" s="9" t="s">
        <v>34</v>
      </c>
      <c r="Q430" s="10" t="str">
        <f>IF(IDMaster[[#This Row],[Consumption]]="Consumption",IDMaster[[#This Row],[Consumption]],IDMaster[[#This Row],[Basis]])</f>
        <v>Total Headcount</v>
      </c>
      <c r="R430" s="7" t="str">
        <f>IDMaster[[#This Row],[Supported Group]]&amp;"."&amp;IDMaster[[#This Row],[Basis]]</f>
        <v>Finance.Total Headcount</v>
      </c>
      <c r="S430" s="11">
        <v>0.69106036166058238</v>
      </c>
      <c r="T430" s="12">
        <v>0.14347567705238135</v>
      </c>
      <c r="U430" s="12">
        <v>0</v>
      </c>
      <c r="V430" s="12">
        <v>0</v>
      </c>
      <c r="W430" s="12">
        <v>0.16546396128703625</v>
      </c>
    </row>
    <row r="431" spans="1:23" x14ac:dyDescent="0.35">
      <c r="A431" s="7" t="s">
        <v>23</v>
      </c>
      <c r="B431" s="7" t="s">
        <v>1264</v>
      </c>
      <c r="C431" s="7" t="s">
        <v>335</v>
      </c>
      <c r="D431" s="8">
        <v>233525</v>
      </c>
      <c r="E431" s="7" t="s">
        <v>1243</v>
      </c>
      <c r="F431" s="7" t="s">
        <v>1265</v>
      </c>
      <c r="G431" s="7" t="s">
        <v>72</v>
      </c>
      <c r="H431" s="7" t="s">
        <v>27</v>
      </c>
      <c r="I431" s="7" t="s">
        <v>28</v>
      </c>
      <c r="J431" s="7" t="s">
        <v>40</v>
      </c>
      <c r="K431" s="7" t="s">
        <v>80</v>
      </c>
      <c r="L431" s="7" t="s">
        <v>1816</v>
      </c>
      <c r="M431" s="7" t="s">
        <v>1266</v>
      </c>
      <c r="N431" s="9" t="s">
        <v>92</v>
      </c>
      <c r="O431" s="9" t="s">
        <v>863</v>
      </c>
      <c r="P431" s="9" t="s">
        <v>34</v>
      </c>
      <c r="Q431" s="10" t="str">
        <f>IF(IDMaster[[#This Row],[Consumption]]="Consumption",IDMaster[[#This Row],[Consumption]],IDMaster[[#This Row],[Basis]])</f>
        <v>Total Headcount</v>
      </c>
      <c r="R431" s="7" t="str">
        <f>IDMaster[[#This Row],[Supported Group]]&amp;"."&amp;IDMaster[[#This Row],[Basis]]</f>
        <v>Finance.Total Headcount</v>
      </c>
      <c r="S431" s="11">
        <v>0.69106036166058238</v>
      </c>
      <c r="T431" s="12">
        <v>0.14347567705238135</v>
      </c>
      <c r="U431" s="12">
        <v>0</v>
      </c>
      <c r="V431" s="12">
        <v>0</v>
      </c>
      <c r="W431" s="12">
        <v>0.16546396128703625</v>
      </c>
    </row>
    <row r="432" spans="1:23" x14ac:dyDescent="0.35">
      <c r="A432" s="7" t="s">
        <v>23</v>
      </c>
      <c r="B432" s="7" t="s">
        <v>1267</v>
      </c>
      <c r="C432" s="7" t="s">
        <v>1268</v>
      </c>
      <c r="D432" s="8">
        <v>282190</v>
      </c>
      <c r="E432" s="7" t="s">
        <v>1269</v>
      </c>
      <c r="F432" s="7" t="s">
        <v>1270</v>
      </c>
      <c r="G432" s="7" t="s">
        <v>72</v>
      </c>
      <c r="H432" s="7" t="s">
        <v>27</v>
      </c>
      <c r="I432" s="7" t="s">
        <v>28</v>
      </c>
      <c r="J432" s="7" t="s">
        <v>40</v>
      </c>
      <c r="K432" s="7" t="s">
        <v>80</v>
      </c>
      <c r="L432" s="7" t="s">
        <v>42</v>
      </c>
      <c r="M432" s="7" t="s">
        <v>1271</v>
      </c>
      <c r="N432" s="9" t="s">
        <v>92</v>
      </c>
      <c r="O432" s="9" t="s">
        <v>574</v>
      </c>
      <c r="P432" s="9" t="s">
        <v>34</v>
      </c>
      <c r="Q432" s="10" t="str">
        <f>IF(IDMaster[[#This Row],[Consumption]]="Consumption",IDMaster[[#This Row],[Consumption]],IDMaster[[#This Row],[Basis]])</f>
        <v>Total Headcount</v>
      </c>
      <c r="R432" s="7" t="str">
        <f>IDMaster[[#This Row],[Supported Group]]&amp;"."&amp;IDMaster[[#This Row],[Basis]]</f>
        <v>Marketing.Total Headcount</v>
      </c>
      <c r="S432" s="11">
        <v>0.69106036166058238</v>
      </c>
      <c r="T432" s="12">
        <v>0.14347567705238135</v>
      </c>
      <c r="U432" s="12">
        <v>0</v>
      </c>
      <c r="V432" s="12">
        <v>0</v>
      </c>
      <c r="W432" s="12">
        <v>0.16546396128703625</v>
      </c>
    </row>
    <row r="433" spans="1:23" x14ac:dyDescent="0.35">
      <c r="A433" s="7" t="s">
        <v>23</v>
      </c>
      <c r="B433" s="7" t="s">
        <v>1272</v>
      </c>
      <c r="C433" s="7" t="s">
        <v>1273</v>
      </c>
      <c r="D433" s="8">
        <v>262373</v>
      </c>
      <c r="E433" s="7" t="s">
        <v>1274</v>
      </c>
      <c r="F433" s="7" t="s">
        <v>1275</v>
      </c>
      <c r="G433" s="7" t="s">
        <v>72</v>
      </c>
      <c r="H433" s="7" t="s">
        <v>27</v>
      </c>
      <c r="I433" s="7" t="s">
        <v>28</v>
      </c>
      <c r="J433" s="7" t="s">
        <v>137</v>
      </c>
      <c r="K433" s="7" t="s">
        <v>80</v>
      </c>
      <c r="L433" s="7" t="s">
        <v>42</v>
      </c>
      <c r="M433" s="7" t="s">
        <v>1276</v>
      </c>
      <c r="N433" s="9" t="s">
        <v>32</v>
      </c>
      <c r="O433" s="9" t="s">
        <v>863</v>
      </c>
      <c r="P433" s="9" t="s">
        <v>34</v>
      </c>
      <c r="Q433" s="10" t="str">
        <f>IF(IDMaster[[#This Row],[Consumption]]="Consumption",IDMaster[[#This Row],[Consumption]],IDMaster[[#This Row],[Basis]])</f>
        <v>Revenue</v>
      </c>
      <c r="R433" s="7" t="str">
        <f>IDMaster[[#This Row],[Supported Group]]&amp;"."&amp;IDMaster[[#This Row],[Basis]]</f>
        <v>Finance.Revenue</v>
      </c>
      <c r="S433" s="11">
        <v>0.42185161428265983</v>
      </c>
      <c r="T433" s="12">
        <v>0.57814838571734017</v>
      </c>
      <c r="U433" s="12">
        <v>0</v>
      </c>
      <c r="V433" s="12">
        <v>0</v>
      </c>
      <c r="W433" s="12">
        <v>0</v>
      </c>
    </row>
    <row r="434" spans="1:23" x14ac:dyDescent="0.35">
      <c r="A434" s="7" t="s">
        <v>23</v>
      </c>
      <c r="B434" s="7" t="s">
        <v>1277</v>
      </c>
      <c r="C434" s="7" t="s">
        <v>1278</v>
      </c>
      <c r="D434" s="8">
        <v>229778</v>
      </c>
      <c r="E434" s="7" t="s">
        <v>1279</v>
      </c>
      <c r="F434" s="7" t="s">
        <v>1280</v>
      </c>
      <c r="G434" s="7" t="s">
        <v>72</v>
      </c>
      <c r="H434" s="7" t="s">
        <v>27</v>
      </c>
      <c r="I434" s="7" t="s">
        <v>28</v>
      </c>
      <c r="J434" s="7" t="s">
        <v>137</v>
      </c>
      <c r="K434" s="7" t="s">
        <v>80</v>
      </c>
      <c r="L434" s="7" t="s">
        <v>42</v>
      </c>
      <c r="M434" s="7" t="s">
        <v>1281</v>
      </c>
      <c r="N434" s="9" t="s">
        <v>32</v>
      </c>
      <c r="O434" s="9" t="s">
        <v>863</v>
      </c>
      <c r="P434" s="9" t="s">
        <v>34</v>
      </c>
      <c r="Q434" s="10" t="str">
        <f>IF(IDMaster[[#This Row],[Consumption]]="Consumption",IDMaster[[#This Row],[Consumption]],IDMaster[[#This Row],[Basis]])</f>
        <v>Revenue</v>
      </c>
      <c r="R434" s="7" t="str">
        <f>IDMaster[[#This Row],[Supported Group]]&amp;"."&amp;IDMaster[[#This Row],[Basis]]</f>
        <v>Finance.Revenue</v>
      </c>
      <c r="S434" s="11">
        <v>0.42185161428265983</v>
      </c>
      <c r="T434" s="12">
        <v>0.57814838571734017</v>
      </c>
      <c r="U434" s="12">
        <v>0</v>
      </c>
      <c r="V434" s="12">
        <v>0</v>
      </c>
      <c r="W434" s="12">
        <v>0</v>
      </c>
    </row>
    <row r="435" spans="1:23" x14ac:dyDescent="0.35">
      <c r="A435" s="7" t="s">
        <v>23</v>
      </c>
      <c r="B435" s="7" t="s">
        <v>1282</v>
      </c>
      <c r="C435" s="7" t="s">
        <v>1283</v>
      </c>
      <c r="D435" s="8">
        <v>224312</v>
      </c>
      <c r="E435" s="7" t="s">
        <v>1284</v>
      </c>
      <c r="F435" s="7" t="s">
        <v>1285</v>
      </c>
      <c r="G435" s="7" t="s">
        <v>72</v>
      </c>
      <c r="H435" s="7" t="s">
        <v>27</v>
      </c>
      <c r="I435" s="7" t="s">
        <v>28</v>
      </c>
      <c r="J435" s="7" t="s">
        <v>40</v>
      </c>
      <c r="K435" s="7" t="s">
        <v>80</v>
      </c>
      <c r="L435" s="7" t="s">
        <v>42</v>
      </c>
      <c r="M435" s="7" t="s">
        <v>1286</v>
      </c>
      <c r="N435" s="9" t="s">
        <v>32</v>
      </c>
      <c r="O435" s="9" t="s">
        <v>863</v>
      </c>
      <c r="P435" s="9" t="s">
        <v>34</v>
      </c>
      <c r="Q435" s="10" t="str">
        <f>IF(IDMaster[[#This Row],[Consumption]]="Consumption",IDMaster[[#This Row],[Consumption]],IDMaster[[#This Row],[Basis]])</f>
        <v>Revenue</v>
      </c>
      <c r="R435" s="7" t="str">
        <f>IDMaster[[#This Row],[Supported Group]]&amp;"."&amp;IDMaster[[#This Row],[Basis]]</f>
        <v>Finance.Revenue</v>
      </c>
      <c r="S435" s="11">
        <v>0.42185161428265983</v>
      </c>
      <c r="T435" s="12">
        <v>0.57814838571734017</v>
      </c>
      <c r="U435" s="12">
        <v>0</v>
      </c>
      <c r="V435" s="12">
        <v>0</v>
      </c>
      <c r="W435" s="12">
        <v>0</v>
      </c>
    </row>
    <row r="436" spans="1:23" x14ac:dyDescent="0.35">
      <c r="A436" s="7" t="s">
        <v>23</v>
      </c>
      <c r="B436" s="7" t="s">
        <v>1287</v>
      </c>
      <c r="C436" s="15" t="s">
        <v>1288</v>
      </c>
      <c r="D436" s="8">
        <v>196519</v>
      </c>
      <c r="E436" s="7" t="s">
        <v>70</v>
      </c>
      <c r="F436" s="7" t="s">
        <v>1289</v>
      </c>
      <c r="G436" s="7" t="s">
        <v>72</v>
      </c>
      <c r="H436" s="7" t="s">
        <v>27</v>
      </c>
      <c r="I436" s="7" t="s">
        <v>28</v>
      </c>
      <c r="J436" s="7" t="s">
        <v>137</v>
      </c>
      <c r="K436" s="7" t="s">
        <v>80</v>
      </c>
      <c r="L436" s="7" t="s">
        <v>42</v>
      </c>
      <c r="M436" s="7" t="s">
        <v>43</v>
      </c>
      <c r="N436" s="9" t="s">
        <v>32</v>
      </c>
      <c r="O436" s="9" t="s">
        <v>863</v>
      </c>
      <c r="P436" s="9" t="s">
        <v>34</v>
      </c>
      <c r="Q436" s="10" t="str">
        <f>IF(IDMaster[[#This Row],[Consumption]]="Consumption",IDMaster[[#This Row],[Consumption]],IDMaster[[#This Row],[Basis]])</f>
        <v>Revenue</v>
      </c>
      <c r="R436" s="7" t="str">
        <f>IDMaster[[#This Row],[Supported Group]]&amp;"."&amp;IDMaster[[#This Row],[Basis]]</f>
        <v>Finance.Revenue</v>
      </c>
      <c r="S436" s="11">
        <v>0.42185161428265983</v>
      </c>
      <c r="T436" s="12">
        <v>0.57814838571734017</v>
      </c>
      <c r="U436" s="12">
        <v>0</v>
      </c>
      <c r="V436" s="12">
        <v>0</v>
      </c>
      <c r="W436" s="12">
        <v>0</v>
      </c>
    </row>
    <row r="437" spans="1:23" x14ac:dyDescent="0.35">
      <c r="A437" s="7" t="s">
        <v>23</v>
      </c>
      <c r="B437" s="7" t="s">
        <v>1290</v>
      </c>
      <c r="C437" s="7" t="s">
        <v>1291</v>
      </c>
      <c r="D437" s="8">
        <v>251307</v>
      </c>
      <c r="E437" s="7" t="s">
        <v>1292</v>
      </c>
      <c r="F437" s="7" t="s">
        <v>1293</v>
      </c>
      <c r="G437" s="7" t="s">
        <v>72</v>
      </c>
      <c r="H437" s="7" t="s">
        <v>27</v>
      </c>
      <c r="I437" s="7" t="s">
        <v>28</v>
      </c>
      <c r="J437" s="7" t="s">
        <v>40</v>
      </c>
      <c r="K437" s="7" t="s">
        <v>80</v>
      </c>
      <c r="L437" s="7" t="s">
        <v>42</v>
      </c>
      <c r="M437" s="7" t="s">
        <v>1294</v>
      </c>
      <c r="N437" s="9" t="s">
        <v>32</v>
      </c>
      <c r="O437" s="9" t="s">
        <v>863</v>
      </c>
      <c r="P437" s="9" t="s">
        <v>34</v>
      </c>
      <c r="Q437" s="10" t="str">
        <f>IF(IDMaster[[#This Row],[Consumption]]="Consumption",IDMaster[[#This Row],[Consumption]],IDMaster[[#This Row],[Basis]])</f>
        <v>Revenue</v>
      </c>
      <c r="R437" s="7" t="str">
        <f>IDMaster[[#This Row],[Supported Group]]&amp;"."&amp;IDMaster[[#This Row],[Basis]]</f>
        <v>Finance.Revenue</v>
      </c>
      <c r="S437" s="11">
        <v>0.42185161428265983</v>
      </c>
      <c r="T437" s="12">
        <v>0.57814838571734017</v>
      </c>
      <c r="U437" s="12">
        <v>0</v>
      </c>
      <c r="V437" s="12">
        <v>0</v>
      </c>
      <c r="W437" s="12">
        <v>0</v>
      </c>
    </row>
    <row r="438" spans="1:23" x14ac:dyDescent="0.35">
      <c r="A438" s="7" t="s">
        <v>23</v>
      </c>
      <c r="B438" s="7" t="s">
        <v>1295</v>
      </c>
      <c r="C438" s="7" t="s">
        <v>598</v>
      </c>
      <c r="D438" s="8">
        <v>196781</v>
      </c>
      <c r="E438" s="7" t="s">
        <v>46</v>
      </c>
      <c r="F438" s="7" t="s">
        <v>1296</v>
      </c>
      <c r="G438" s="7" t="s">
        <v>48</v>
      </c>
      <c r="H438" s="7" t="s">
        <v>27</v>
      </c>
      <c r="I438" s="7" t="s">
        <v>28</v>
      </c>
      <c r="J438" s="7" t="s">
        <v>40</v>
      </c>
      <c r="K438" s="7" t="s">
        <v>80</v>
      </c>
      <c r="L438" s="7" t="s">
        <v>42</v>
      </c>
      <c r="M438" s="7" t="s">
        <v>1297</v>
      </c>
      <c r="N438" s="9" t="s">
        <v>92</v>
      </c>
      <c r="O438" s="9" t="s">
        <v>33</v>
      </c>
      <c r="P438" s="9" t="s">
        <v>34</v>
      </c>
      <c r="Q438" s="10" t="str">
        <f>IF(IDMaster[[#This Row],[Consumption]]="Consumption",IDMaster[[#This Row],[Consumption]],IDMaster[[#This Row],[Basis]])</f>
        <v>Total Headcount</v>
      </c>
      <c r="R438" s="7" t="str">
        <f>IDMaster[[#This Row],[Supported Group]]&amp;"."&amp;IDMaster[[#This Row],[Basis]]</f>
        <v>IT Tools.Total Headcount</v>
      </c>
      <c r="S438" s="11">
        <v>0.69106036166058238</v>
      </c>
      <c r="T438" s="12">
        <v>0.14347567705238135</v>
      </c>
      <c r="U438" s="12">
        <v>0</v>
      </c>
      <c r="V438" s="12">
        <v>0</v>
      </c>
      <c r="W438" s="12">
        <v>0.16546396128703625</v>
      </c>
    </row>
    <row r="439" spans="1:23" x14ac:dyDescent="0.35">
      <c r="A439" s="7" t="s">
        <v>23</v>
      </c>
      <c r="B439" s="7" t="s">
        <v>1298</v>
      </c>
      <c r="C439" s="7" t="s">
        <v>598</v>
      </c>
      <c r="D439" s="8">
        <v>196781</v>
      </c>
      <c r="E439" s="7" t="s">
        <v>1299</v>
      </c>
      <c r="F439" s="7" t="s">
        <v>1300</v>
      </c>
      <c r="G439" s="7" t="s">
        <v>48</v>
      </c>
      <c r="H439" s="7" t="s">
        <v>27</v>
      </c>
      <c r="I439" s="7" t="s">
        <v>28</v>
      </c>
      <c r="J439" s="7" t="s">
        <v>40</v>
      </c>
      <c r="K439" s="7" t="s">
        <v>80</v>
      </c>
      <c r="L439" s="7" t="s">
        <v>42</v>
      </c>
      <c r="M439" s="7" t="s">
        <v>1301</v>
      </c>
      <c r="N439" s="9" t="s">
        <v>92</v>
      </c>
      <c r="O439" s="9" t="s">
        <v>44</v>
      </c>
      <c r="P439" s="9" t="s">
        <v>34</v>
      </c>
      <c r="Q439" s="10" t="str">
        <f>IF(IDMaster[[#This Row],[Consumption]]="Consumption",IDMaster[[#This Row],[Consumption]],IDMaster[[#This Row],[Basis]])</f>
        <v>Total Headcount</v>
      </c>
      <c r="R439" s="7" t="str">
        <f>IDMaster[[#This Row],[Supported Group]]&amp;"."&amp;IDMaster[[#This Row],[Basis]]</f>
        <v>Corporate.Total Headcount</v>
      </c>
      <c r="S439" s="11">
        <v>0.69106036166058238</v>
      </c>
      <c r="T439" s="12">
        <v>0.14347567705238135</v>
      </c>
      <c r="U439" s="12">
        <v>0</v>
      </c>
      <c r="V439" s="12">
        <v>0</v>
      </c>
      <c r="W439" s="12">
        <v>0.16546396128703625</v>
      </c>
    </row>
    <row r="440" spans="1:23" x14ac:dyDescent="0.35">
      <c r="A440" s="7" t="s">
        <v>23</v>
      </c>
      <c r="B440" s="7" t="s">
        <v>1302</v>
      </c>
      <c r="C440" s="7" t="s">
        <v>598</v>
      </c>
      <c r="D440" s="8">
        <v>196781</v>
      </c>
      <c r="E440" s="7" t="s">
        <v>46</v>
      </c>
      <c r="F440" s="7" t="s">
        <v>1303</v>
      </c>
      <c r="G440" s="7" t="s">
        <v>48</v>
      </c>
      <c r="H440" s="7" t="s">
        <v>27</v>
      </c>
      <c r="I440" s="7" t="s">
        <v>28</v>
      </c>
      <c r="J440" s="7" t="s">
        <v>40</v>
      </c>
      <c r="K440" s="7" t="s">
        <v>80</v>
      </c>
      <c r="L440" s="7" t="s">
        <v>42</v>
      </c>
      <c r="M440" s="7" t="s">
        <v>1304</v>
      </c>
      <c r="N440" s="9" t="s">
        <v>92</v>
      </c>
      <c r="O440" s="9" t="s">
        <v>33</v>
      </c>
      <c r="P440" s="9" t="s">
        <v>34</v>
      </c>
      <c r="Q440" s="10" t="str">
        <f>IF(IDMaster[[#This Row],[Consumption]]="Consumption",IDMaster[[#This Row],[Consumption]],IDMaster[[#This Row],[Basis]])</f>
        <v>Total Headcount</v>
      </c>
      <c r="R440" s="7" t="str">
        <f>IDMaster[[#This Row],[Supported Group]]&amp;"."&amp;IDMaster[[#This Row],[Basis]]</f>
        <v>IT Tools.Total Headcount</v>
      </c>
      <c r="S440" s="11">
        <v>0.69106036166058238</v>
      </c>
      <c r="T440" s="12">
        <v>0.14347567705238135</v>
      </c>
      <c r="U440" s="12">
        <v>0</v>
      </c>
      <c r="V440" s="12">
        <v>0</v>
      </c>
      <c r="W440" s="12">
        <v>0.16546396128703625</v>
      </c>
    </row>
    <row r="441" spans="1:23" x14ac:dyDescent="0.35">
      <c r="A441" s="7" t="s">
        <v>23</v>
      </c>
      <c r="B441" s="7" t="s">
        <v>1305</v>
      </c>
      <c r="C441" s="7" t="s">
        <v>335</v>
      </c>
      <c r="D441" s="8">
        <v>233525</v>
      </c>
      <c r="E441" s="7" t="s">
        <v>1243</v>
      </c>
      <c r="F441" s="7" t="s">
        <v>1306</v>
      </c>
      <c r="G441" s="7" t="s">
        <v>72</v>
      </c>
      <c r="H441" s="7" t="s">
        <v>27</v>
      </c>
      <c r="I441" s="7" t="s">
        <v>28</v>
      </c>
      <c r="J441" s="7" t="s">
        <v>40</v>
      </c>
      <c r="K441" s="7" t="s">
        <v>80</v>
      </c>
      <c r="L441" s="7" t="s">
        <v>42</v>
      </c>
      <c r="M441" s="7" t="s">
        <v>1307</v>
      </c>
      <c r="N441" s="9" t="s">
        <v>92</v>
      </c>
      <c r="O441" s="9" t="s">
        <v>863</v>
      </c>
      <c r="P441" s="9" t="s">
        <v>34</v>
      </c>
      <c r="Q441" s="10" t="str">
        <f>IF(IDMaster[[#This Row],[Consumption]]="Consumption",IDMaster[[#This Row],[Consumption]],IDMaster[[#This Row],[Basis]])</f>
        <v>Total Headcount</v>
      </c>
      <c r="R441" s="7" t="str">
        <f>IDMaster[[#This Row],[Supported Group]]&amp;"."&amp;IDMaster[[#This Row],[Basis]]</f>
        <v>Finance.Total Headcount</v>
      </c>
      <c r="S441" s="11">
        <v>0.69106036166058238</v>
      </c>
      <c r="T441" s="12">
        <v>0.14347567705238135</v>
      </c>
      <c r="U441" s="12">
        <v>0</v>
      </c>
      <c r="V441" s="12">
        <v>0</v>
      </c>
      <c r="W441" s="12">
        <v>0.16546396128703625</v>
      </c>
    </row>
    <row r="442" spans="1:23" x14ac:dyDescent="0.35">
      <c r="A442" s="7" t="s">
        <v>23</v>
      </c>
      <c r="B442" s="7" t="s">
        <v>1308</v>
      </c>
      <c r="C442" s="7" t="s">
        <v>1309</v>
      </c>
      <c r="D442" s="8">
        <v>162676</v>
      </c>
      <c r="E442" s="7" t="s">
        <v>584</v>
      </c>
      <c r="F442" s="7" t="s">
        <v>1310</v>
      </c>
      <c r="G442" s="7" t="s">
        <v>48</v>
      </c>
      <c r="H442" s="7" t="s">
        <v>27</v>
      </c>
      <c r="I442" s="7" t="s">
        <v>28</v>
      </c>
      <c r="J442" s="7" t="s">
        <v>267</v>
      </c>
      <c r="K442" s="7" t="s">
        <v>80</v>
      </c>
      <c r="L442" s="7" t="s">
        <v>42</v>
      </c>
      <c r="M442" s="7" t="s">
        <v>43</v>
      </c>
      <c r="N442" s="9" t="s">
        <v>32</v>
      </c>
      <c r="O442" s="9" t="s">
        <v>51</v>
      </c>
      <c r="P442" s="9" t="s">
        <v>34</v>
      </c>
      <c r="Q442" s="10" t="str">
        <f>IF(IDMaster[[#This Row],[Consumption]]="Consumption",IDMaster[[#This Row],[Consumption]],IDMaster[[#This Row],[Basis]])</f>
        <v>Revenue</v>
      </c>
      <c r="R442" s="7" t="str">
        <f>IDMaster[[#This Row],[Supported Group]]&amp;"."&amp;IDMaster[[#This Row],[Basis]]</f>
        <v>IT Infrastructure.Revenue</v>
      </c>
      <c r="S442" s="11">
        <v>0.42185161428265983</v>
      </c>
      <c r="T442" s="12">
        <v>0.57814838571734017</v>
      </c>
      <c r="U442" s="12">
        <v>0</v>
      </c>
      <c r="V442" s="12">
        <v>0</v>
      </c>
      <c r="W442" s="12">
        <v>0</v>
      </c>
    </row>
    <row r="443" spans="1:23" x14ac:dyDescent="0.35">
      <c r="A443" s="7" t="s">
        <v>23</v>
      </c>
      <c r="B443" s="7" t="s">
        <v>1311</v>
      </c>
      <c r="C443" s="7" t="s">
        <v>1309</v>
      </c>
      <c r="D443" s="8">
        <v>162676</v>
      </c>
      <c r="E443" s="7" t="s">
        <v>584</v>
      </c>
      <c r="F443" s="7" t="s">
        <v>1310</v>
      </c>
      <c r="G443" s="7" t="s">
        <v>72</v>
      </c>
      <c r="H443" s="7" t="s">
        <v>39</v>
      </c>
      <c r="I443" s="7" t="s">
        <v>28</v>
      </c>
      <c r="J443" s="7" t="s">
        <v>40</v>
      </c>
      <c r="K443" s="7" t="s">
        <v>80</v>
      </c>
      <c r="L443" s="7" t="s">
        <v>42</v>
      </c>
      <c r="M443" s="7" t="s">
        <v>43</v>
      </c>
      <c r="N443" s="9" t="s">
        <v>32</v>
      </c>
      <c r="O443" s="9" t="s">
        <v>51</v>
      </c>
      <c r="P443" s="9" t="s">
        <v>34</v>
      </c>
      <c r="Q443" s="10" t="str">
        <f>IF(IDMaster[[#This Row],[Consumption]]="Consumption",IDMaster[[#This Row],[Consumption]],IDMaster[[#This Row],[Basis]])</f>
        <v>Revenue</v>
      </c>
      <c r="R443" s="7" t="str">
        <f>IDMaster[[#This Row],[Supported Group]]&amp;"."&amp;IDMaster[[#This Row],[Basis]]</f>
        <v>IT Infrastructure.Revenue</v>
      </c>
      <c r="S443" s="11">
        <v>0.42185161428265983</v>
      </c>
      <c r="T443" s="12">
        <v>0.57814838571734017</v>
      </c>
      <c r="U443" s="12">
        <v>0</v>
      </c>
      <c r="V443" s="12">
        <v>0</v>
      </c>
      <c r="W443" s="12">
        <v>0</v>
      </c>
    </row>
    <row r="444" spans="1:23" x14ac:dyDescent="0.35">
      <c r="A444" s="7" t="s">
        <v>23</v>
      </c>
      <c r="B444" s="7" t="s">
        <v>1312</v>
      </c>
      <c r="C444" s="7" t="s">
        <v>1313</v>
      </c>
      <c r="D444" s="8">
        <v>301334</v>
      </c>
      <c r="E444" s="7" t="s">
        <v>1269</v>
      </c>
      <c r="F444" s="7" t="s">
        <v>1314</v>
      </c>
      <c r="G444" s="7" t="s">
        <v>152</v>
      </c>
      <c r="H444" s="7" t="s">
        <v>27</v>
      </c>
      <c r="I444" s="7" t="s">
        <v>28</v>
      </c>
      <c r="J444" s="7" t="s">
        <v>40</v>
      </c>
      <c r="K444" s="7" t="s">
        <v>80</v>
      </c>
      <c r="L444" s="7" t="s">
        <v>42</v>
      </c>
      <c r="M444" s="7" t="s">
        <v>43</v>
      </c>
      <c r="N444" s="9" t="s">
        <v>32</v>
      </c>
      <c r="O444" s="9" t="s">
        <v>574</v>
      </c>
      <c r="P444" s="9" t="s">
        <v>34</v>
      </c>
      <c r="Q444" s="10" t="str">
        <f>IF(IDMaster[[#This Row],[Consumption]]="Consumption",IDMaster[[#This Row],[Consumption]],IDMaster[[#This Row],[Basis]])</f>
        <v>Revenue</v>
      </c>
      <c r="R444" s="7" t="str">
        <f>IDMaster[[#This Row],[Supported Group]]&amp;"."&amp;IDMaster[[#This Row],[Basis]]</f>
        <v>Marketing.Revenue</v>
      </c>
      <c r="S444" s="11">
        <v>0.42185161428265983</v>
      </c>
      <c r="T444" s="12">
        <v>0.57814838571734017</v>
      </c>
      <c r="U444" s="12">
        <v>0</v>
      </c>
      <c r="V444" s="12">
        <v>0</v>
      </c>
      <c r="W444" s="12">
        <v>0</v>
      </c>
    </row>
    <row r="445" spans="1:23" x14ac:dyDescent="0.35">
      <c r="A445" s="7" t="s">
        <v>23</v>
      </c>
      <c r="B445" s="7" t="s">
        <v>1315</v>
      </c>
      <c r="C445" s="15" t="s">
        <v>1316</v>
      </c>
      <c r="D445" s="8">
        <v>219718</v>
      </c>
      <c r="E445" s="7" t="s">
        <v>46</v>
      </c>
      <c r="F445" s="7" t="s">
        <v>1317</v>
      </c>
      <c r="G445" s="7" t="s">
        <v>48</v>
      </c>
      <c r="H445" s="7" t="s">
        <v>27</v>
      </c>
      <c r="I445" s="7" t="s">
        <v>28</v>
      </c>
      <c r="J445" s="7" t="s">
        <v>40</v>
      </c>
      <c r="K445" s="7" t="s">
        <v>80</v>
      </c>
      <c r="L445" s="7" t="s">
        <v>42</v>
      </c>
      <c r="M445" s="7" t="s">
        <v>1318</v>
      </c>
      <c r="N445" s="9" t="s">
        <v>92</v>
      </c>
      <c r="O445" s="9" t="s">
        <v>863</v>
      </c>
      <c r="P445" s="9" t="s">
        <v>34</v>
      </c>
      <c r="Q445" s="10" t="str">
        <f>IF(IDMaster[[#This Row],[Consumption]]="Consumption",IDMaster[[#This Row],[Consumption]],IDMaster[[#This Row],[Basis]])</f>
        <v>Total Headcount</v>
      </c>
      <c r="R445" s="7" t="str">
        <f>IDMaster[[#This Row],[Supported Group]]&amp;"."&amp;IDMaster[[#This Row],[Basis]]</f>
        <v>Finance.Total Headcount</v>
      </c>
      <c r="S445" s="11">
        <v>0.69106036166058238</v>
      </c>
      <c r="T445" s="12">
        <v>0.14347567705238135</v>
      </c>
      <c r="U445" s="12">
        <v>0</v>
      </c>
      <c r="V445" s="12">
        <v>0</v>
      </c>
      <c r="W445" s="12">
        <v>0.16546396128703625</v>
      </c>
    </row>
    <row r="446" spans="1:23" x14ac:dyDescent="0.35">
      <c r="A446" s="7" t="s">
        <v>23</v>
      </c>
      <c r="B446" s="7" t="s">
        <v>1319</v>
      </c>
      <c r="C446" s="7" t="s">
        <v>1320</v>
      </c>
      <c r="D446" s="8">
        <v>218070</v>
      </c>
      <c r="E446" s="7" t="s">
        <v>879</v>
      </c>
      <c r="F446" s="7" t="s">
        <v>1321</v>
      </c>
      <c r="G446" s="7" t="s">
        <v>72</v>
      </c>
      <c r="H446" s="7" t="s">
        <v>27</v>
      </c>
      <c r="I446" s="7" t="s">
        <v>28</v>
      </c>
      <c r="J446" s="7" t="s">
        <v>40</v>
      </c>
      <c r="K446" s="7" t="s">
        <v>80</v>
      </c>
      <c r="L446" s="7" t="s">
        <v>42</v>
      </c>
      <c r="M446" s="7" t="s">
        <v>1322</v>
      </c>
      <c r="N446" s="9" t="s">
        <v>92</v>
      </c>
      <c r="O446" s="9" t="s">
        <v>863</v>
      </c>
      <c r="P446" s="9" t="s">
        <v>34</v>
      </c>
      <c r="Q446" s="10" t="str">
        <f>IF(IDMaster[[#This Row],[Consumption]]="Consumption",IDMaster[[#This Row],[Consumption]],IDMaster[[#This Row],[Basis]])</f>
        <v>Total Headcount</v>
      </c>
      <c r="R446" s="7" t="str">
        <f>IDMaster[[#This Row],[Supported Group]]&amp;"."&amp;IDMaster[[#This Row],[Basis]]</f>
        <v>Finance.Total Headcount</v>
      </c>
      <c r="S446" s="11">
        <v>0.69106036166058238</v>
      </c>
      <c r="T446" s="12">
        <v>0.14347567705238135</v>
      </c>
      <c r="U446" s="12">
        <v>0</v>
      </c>
      <c r="V446" s="12">
        <v>0</v>
      </c>
      <c r="W446" s="12">
        <v>0.16546396128703625</v>
      </c>
    </row>
    <row r="447" spans="1:23" x14ac:dyDescent="0.35">
      <c r="A447" s="7" t="s">
        <v>23</v>
      </c>
      <c r="B447" s="7" t="s">
        <v>1323</v>
      </c>
      <c r="C447" s="7" t="s">
        <v>1324</v>
      </c>
      <c r="D447" s="8">
        <v>189785</v>
      </c>
      <c r="E447" s="7" t="s">
        <v>533</v>
      </c>
      <c r="F447" s="7" t="s">
        <v>1325</v>
      </c>
      <c r="G447" s="7" t="s">
        <v>72</v>
      </c>
      <c r="H447" s="7" t="s">
        <v>27</v>
      </c>
      <c r="I447" s="7" t="s">
        <v>28</v>
      </c>
      <c r="J447" s="7" t="s">
        <v>40</v>
      </c>
      <c r="K447" s="7" t="s">
        <v>80</v>
      </c>
      <c r="L447" s="7" t="s">
        <v>42</v>
      </c>
      <c r="M447" s="7" t="s">
        <v>1326</v>
      </c>
      <c r="N447" s="9" t="s">
        <v>32</v>
      </c>
      <c r="O447" s="9" t="s">
        <v>538</v>
      </c>
      <c r="P447" s="9" t="s">
        <v>34</v>
      </c>
      <c r="Q447" s="10" t="str">
        <f>IF(IDMaster[[#This Row],[Consumption]]="Consumption",IDMaster[[#This Row],[Consumption]],IDMaster[[#This Row],[Basis]])</f>
        <v>Revenue</v>
      </c>
      <c r="R447" s="7" t="str">
        <f>IDMaster[[#This Row],[Supported Group]]&amp;"."&amp;IDMaster[[#This Row],[Basis]]</f>
        <v>RAC.Revenue</v>
      </c>
      <c r="S447" s="11">
        <v>0.42185161428265983</v>
      </c>
      <c r="T447" s="12">
        <v>0.57814838571734017</v>
      </c>
      <c r="U447" s="12">
        <v>0</v>
      </c>
      <c r="V447" s="12">
        <v>0</v>
      </c>
      <c r="W447" s="12">
        <v>0</v>
      </c>
    </row>
    <row r="448" spans="1:23" x14ac:dyDescent="0.35">
      <c r="A448" s="16" t="s">
        <v>23</v>
      </c>
      <c r="B448" s="16" t="s">
        <v>1327</v>
      </c>
      <c r="C448" s="7" t="s">
        <v>1328</v>
      </c>
      <c r="D448" s="8">
        <v>448783</v>
      </c>
      <c r="E448" s="7" t="s">
        <v>533</v>
      </c>
      <c r="F448" s="7" t="s">
        <v>1325</v>
      </c>
      <c r="G448" s="7" t="s">
        <v>72</v>
      </c>
      <c r="H448" s="7" t="s">
        <v>27</v>
      </c>
      <c r="I448" s="7" t="s">
        <v>28</v>
      </c>
      <c r="J448" s="7" t="s">
        <v>40</v>
      </c>
      <c r="K448" s="7" t="s">
        <v>80</v>
      </c>
      <c r="L448" s="7" t="s">
        <v>42</v>
      </c>
      <c r="M448" s="7" t="s">
        <v>1326</v>
      </c>
      <c r="N448" s="9" t="s">
        <v>32</v>
      </c>
      <c r="O448" s="9" t="s">
        <v>538</v>
      </c>
      <c r="P448" s="9" t="s">
        <v>34</v>
      </c>
      <c r="Q448" s="10" t="str">
        <f>IF(IDMaster[[#This Row],[Consumption]]="Consumption",IDMaster[[#This Row],[Consumption]],IDMaster[[#This Row],[Basis]])</f>
        <v>Revenue</v>
      </c>
      <c r="R448" s="7" t="str">
        <f>IDMaster[[#This Row],[Supported Group]]&amp;"."&amp;IDMaster[[#This Row],[Basis]]</f>
        <v>RAC.Revenue</v>
      </c>
      <c r="S448" s="11">
        <v>0.42185161428265983</v>
      </c>
      <c r="T448" s="12">
        <v>0.57814838571734017</v>
      </c>
      <c r="U448" s="12">
        <v>0</v>
      </c>
      <c r="V448" s="12">
        <v>0</v>
      </c>
      <c r="W448" s="12">
        <v>0</v>
      </c>
    </row>
    <row r="449" spans="1:23" x14ac:dyDescent="0.35">
      <c r="A449" s="7" t="s">
        <v>23</v>
      </c>
      <c r="B449" s="7" t="s">
        <v>1329</v>
      </c>
      <c r="C449" s="15" t="s">
        <v>1330</v>
      </c>
      <c r="D449" s="8">
        <v>317638</v>
      </c>
      <c r="E449" s="7" t="s">
        <v>1331</v>
      </c>
      <c r="F449" s="7" t="s">
        <v>1332</v>
      </c>
      <c r="G449" s="7" t="s">
        <v>72</v>
      </c>
      <c r="H449" s="7" t="s">
        <v>27</v>
      </c>
      <c r="I449" s="7" t="s">
        <v>28</v>
      </c>
      <c r="J449" s="7" t="s">
        <v>40</v>
      </c>
      <c r="K449" s="7" t="s">
        <v>80</v>
      </c>
      <c r="L449" s="7" t="s">
        <v>42</v>
      </c>
      <c r="M449" s="7" t="s">
        <v>43</v>
      </c>
      <c r="N449" s="9" t="s">
        <v>32</v>
      </c>
      <c r="O449" s="9" t="s">
        <v>863</v>
      </c>
      <c r="P449" s="9" t="s">
        <v>34</v>
      </c>
      <c r="Q449" s="10" t="str">
        <f>IF(IDMaster[[#This Row],[Consumption]]="Consumption",IDMaster[[#This Row],[Consumption]],IDMaster[[#This Row],[Basis]])</f>
        <v>Revenue</v>
      </c>
      <c r="R449" s="7" t="str">
        <f>IDMaster[[#This Row],[Supported Group]]&amp;"."&amp;IDMaster[[#This Row],[Basis]]</f>
        <v>Finance.Revenue</v>
      </c>
      <c r="S449" s="11">
        <v>0.42185161428265983</v>
      </c>
      <c r="T449" s="12">
        <v>0.57814838571734017</v>
      </c>
      <c r="U449" s="12">
        <v>0</v>
      </c>
      <c r="V449" s="12">
        <v>0</v>
      </c>
      <c r="W449" s="12">
        <v>0</v>
      </c>
    </row>
    <row r="450" spans="1:23" x14ac:dyDescent="0.35">
      <c r="A450" s="7" t="s">
        <v>23</v>
      </c>
      <c r="B450" s="7" t="s">
        <v>1333</v>
      </c>
      <c r="C450" s="7" t="s">
        <v>1334</v>
      </c>
      <c r="D450" s="8">
        <v>351440</v>
      </c>
      <c r="E450" s="7" t="s">
        <v>312</v>
      </c>
      <c r="F450" s="7" t="s">
        <v>1335</v>
      </c>
      <c r="G450" s="7" t="s">
        <v>48</v>
      </c>
      <c r="H450" s="7" t="s">
        <v>27</v>
      </c>
      <c r="I450" s="7" t="s">
        <v>28</v>
      </c>
      <c r="J450" s="7" t="s">
        <v>40</v>
      </c>
      <c r="K450" s="7" t="s">
        <v>80</v>
      </c>
      <c r="L450" s="7" t="s">
        <v>42</v>
      </c>
      <c r="M450" s="7" t="s">
        <v>1336</v>
      </c>
      <c r="N450" s="9" t="s">
        <v>92</v>
      </c>
      <c r="O450" s="9" t="s">
        <v>33</v>
      </c>
      <c r="P450" s="9" t="s">
        <v>34</v>
      </c>
      <c r="Q450" s="10" t="str">
        <f>IF(IDMaster[[#This Row],[Consumption]]="Consumption",IDMaster[[#This Row],[Consumption]],IDMaster[[#This Row],[Basis]])</f>
        <v>Total Headcount</v>
      </c>
      <c r="R450" s="7" t="str">
        <f>IDMaster[[#This Row],[Supported Group]]&amp;"."&amp;IDMaster[[#This Row],[Basis]]</f>
        <v>IT Tools.Total Headcount</v>
      </c>
      <c r="S450" s="11">
        <v>0.69106036166058238</v>
      </c>
      <c r="T450" s="12">
        <v>0.14347567705238135</v>
      </c>
      <c r="U450" s="12">
        <v>0</v>
      </c>
      <c r="V450" s="12">
        <v>0</v>
      </c>
      <c r="W450" s="12">
        <v>0.16546396128703625</v>
      </c>
    </row>
    <row r="451" spans="1:23" x14ac:dyDescent="0.35">
      <c r="A451" s="7" t="s">
        <v>23</v>
      </c>
      <c r="B451" s="7" t="s">
        <v>1337</v>
      </c>
      <c r="C451" s="7" t="s">
        <v>1338</v>
      </c>
      <c r="D451" s="8">
        <v>228679</v>
      </c>
      <c r="E451" s="7" t="s">
        <v>1292</v>
      </c>
      <c r="F451" s="7" t="s">
        <v>1339</v>
      </c>
      <c r="G451" s="7" t="s">
        <v>103</v>
      </c>
      <c r="H451" s="7" t="s">
        <v>27</v>
      </c>
      <c r="I451" s="7" t="s">
        <v>28</v>
      </c>
      <c r="J451" s="7" t="s">
        <v>40</v>
      </c>
      <c r="K451" s="7" t="s">
        <v>80</v>
      </c>
      <c r="L451" s="7" t="s">
        <v>42</v>
      </c>
      <c r="M451" s="7" t="s">
        <v>1340</v>
      </c>
      <c r="N451" s="9" t="s">
        <v>92</v>
      </c>
      <c r="O451" s="9" t="s">
        <v>538</v>
      </c>
      <c r="P451" s="9" t="s">
        <v>34</v>
      </c>
      <c r="Q451" s="10" t="str">
        <f>IF(IDMaster[[#This Row],[Consumption]]="Consumption",IDMaster[[#This Row],[Consumption]],IDMaster[[#This Row],[Basis]])</f>
        <v>Total Headcount</v>
      </c>
      <c r="R451" s="7" t="str">
        <f>IDMaster[[#This Row],[Supported Group]]&amp;"."&amp;IDMaster[[#This Row],[Basis]]</f>
        <v>RAC.Total Headcount</v>
      </c>
      <c r="S451" s="11">
        <v>0.69106036166058238</v>
      </c>
      <c r="T451" s="12">
        <v>0.14347567705238135</v>
      </c>
      <c r="U451" s="12">
        <v>0</v>
      </c>
      <c r="V451" s="12">
        <v>0</v>
      </c>
      <c r="W451" s="12">
        <v>0.16546396128703625</v>
      </c>
    </row>
    <row r="452" spans="1:23" x14ac:dyDescent="0.35">
      <c r="A452" s="7" t="s">
        <v>23</v>
      </c>
      <c r="B452" s="7" t="s">
        <v>1341</v>
      </c>
      <c r="C452" s="7" t="s">
        <v>1342</v>
      </c>
      <c r="D452" s="8">
        <v>313396</v>
      </c>
      <c r="E452" s="7" t="s">
        <v>70</v>
      </c>
      <c r="F452" s="7" t="s">
        <v>1343</v>
      </c>
      <c r="G452" s="7" t="s">
        <v>72</v>
      </c>
      <c r="H452" s="7" t="s">
        <v>27</v>
      </c>
      <c r="I452" s="7" t="s">
        <v>28</v>
      </c>
      <c r="J452" s="7" t="s">
        <v>40</v>
      </c>
      <c r="K452" s="7" t="s">
        <v>80</v>
      </c>
      <c r="L452" s="7" t="s">
        <v>42</v>
      </c>
      <c r="M452" s="7" t="s">
        <v>43</v>
      </c>
      <c r="N452" s="9" t="s">
        <v>32</v>
      </c>
      <c r="O452" s="9" t="s">
        <v>574</v>
      </c>
      <c r="P452" s="9" t="s">
        <v>34</v>
      </c>
      <c r="Q452" s="10" t="str">
        <f>IF(IDMaster[[#This Row],[Consumption]]="Consumption",IDMaster[[#This Row],[Consumption]],IDMaster[[#This Row],[Basis]])</f>
        <v>Revenue</v>
      </c>
      <c r="R452" s="7" t="str">
        <f>IDMaster[[#This Row],[Supported Group]]&amp;"."&amp;IDMaster[[#This Row],[Basis]]</f>
        <v>Marketing.Revenue</v>
      </c>
      <c r="S452" s="11">
        <v>0.42185161428265983</v>
      </c>
      <c r="T452" s="12">
        <v>0.57814838571734017</v>
      </c>
      <c r="U452" s="12">
        <v>0</v>
      </c>
      <c r="V452" s="12">
        <v>0</v>
      </c>
      <c r="W452" s="12">
        <v>0</v>
      </c>
    </row>
    <row r="453" spans="1:23" x14ac:dyDescent="0.35">
      <c r="A453" s="7" t="s">
        <v>23</v>
      </c>
      <c r="B453" s="7" t="s">
        <v>1344</v>
      </c>
      <c r="C453" s="7" t="s">
        <v>1345</v>
      </c>
      <c r="D453" s="8">
        <v>224809</v>
      </c>
      <c r="E453" s="7" t="s">
        <v>1346</v>
      </c>
      <c r="F453" s="7" t="s">
        <v>1347</v>
      </c>
      <c r="G453" s="7" t="s">
        <v>72</v>
      </c>
      <c r="H453" s="7" t="s">
        <v>27</v>
      </c>
      <c r="I453" s="7" t="s">
        <v>28</v>
      </c>
      <c r="J453" s="7" t="s">
        <v>124</v>
      </c>
      <c r="K453" s="7" t="s">
        <v>80</v>
      </c>
      <c r="L453" s="7" t="s">
        <v>42</v>
      </c>
      <c r="M453" s="7" t="s">
        <v>43</v>
      </c>
      <c r="N453" s="9" t="s">
        <v>32</v>
      </c>
      <c r="O453" s="9" t="s">
        <v>863</v>
      </c>
      <c r="P453" s="9" t="s">
        <v>34</v>
      </c>
      <c r="Q453" s="10" t="str">
        <f>IF(IDMaster[[#This Row],[Consumption]]="Consumption",IDMaster[[#This Row],[Consumption]],IDMaster[[#This Row],[Basis]])</f>
        <v>Revenue</v>
      </c>
      <c r="R453" s="7" t="str">
        <f>IDMaster[[#This Row],[Supported Group]]&amp;"."&amp;IDMaster[[#This Row],[Basis]]</f>
        <v>Finance.Revenue</v>
      </c>
      <c r="S453" s="11">
        <v>0.42185161428265983</v>
      </c>
      <c r="T453" s="12">
        <v>0.57814838571734017</v>
      </c>
      <c r="U453" s="12">
        <v>0</v>
      </c>
      <c r="V453" s="12">
        <v>0</v>
      </c>
      <c r="W453" s="12">
        <v>0</v>
      </c>
    </row>
    <row r="454" spans="1:23" x14ac:dyDescent="0.35">
      <c r="A454" s="7" t="s">
        <v>23</v>
      </c>
      <c r="B454" s="7" t="s">
        <v>1348</v>
      </c>
      <c r="C454" s="7" t="s">
        <v>1345</v>
      </c>
      <c r="D454" s="8">
        <v>224809</v>
      </c>
      <c r="E454" s="7" t="s">
        <v>1346</v>
      </c>
      <c r="F454" s="7" t="s">
        <v>1349</v>
      </c>
      <c r="G454" s="7" t="s">
        <v>72</v>
      </c>
      <c r="H454" s="7" t="s">
        <v>27</v>
      </c>
      <c r="I454" s="7" t="s">
        <v>28</v>
      </c>
      <c r="J454" s="7" t="s">
        <v>40</v>
      </c>
      <c r="K454" s="7" t="s">
        <v>80</v>
      </c>
      <c r="L454" s="7" t="s">
        <v>42</v>
      </c>
      <c r="M454" s="7" t="s">
        <v>1350</v>
      </c>
      <c r="N454" s="9" t="s">
        <v>92</v>
      </c>
      <c r="O454" s="9" t="s">
        <v>538</v>
      </c>
      <c r="P454" s="9" t="s">
        <v>34</v>
      </c>
      <c r="Q454" s="10" t="str">
        <f>IF(IDMaster[[#This Row],[Consumption]]="Consumption",IDMaster[[#This Row],[Consumption]],IDMaster[[#This Row],[Basis]])</f>
        <v>Total Headcount</v>
      </c>
      <c r="R454" s="7" t="str">
        <f>IDMaster[[#This Row],[Supported Group]]&amp;"."&amp;IDMaster[[#This Row],[Basis]]</f>
        <v>RAC.Total Headcount</v>
      </c>
      <c r="S454" s="11">
        <v>0.69106036166058238</v>
      </c>
      <c r="T454" s="12">
        <v>0.14347567705238135</v>
      </c>
      <c r="U454" s="12">
        <v>0</v>
      </c>
      <c r="V454" s="12">
        <v>0</v>
      </c>
      <c r="W454" s="12">
        <v>0.16546396128703625</v>
      </c>
    </row>
    <row r="455" spans="1:23" x14ac:dyDescent="0.35">
      <c r="A455" s="7" t="s">
        <v>23</v>
      </c>
      <c r="B455" s="7" t="s">
        <v>1351</v>
      </c>
      <c r="C455" s="7" t="s">
        <v>1352</v>
      </c>
      <c r="D455" s="8">
        <v>309542</v>
      </c>
      <c r="E455" s="7" t="s">
        <v>295</v>
      </c>
      <c r="F455" s="7" t="s">
        <v>1353</v>
      </c>
      <c r="G455" s="7" t="s">
        <v>48</v>
      </c>
      <c r="H455" s="7" t="s">
        <v>27</v>
      </c>
      <c r="I455" s="7" t="s">
        <v>28</v>
      </c>
      <c r="J455" s="7" t="s">
        <v>40</v>
      </c>
      <c r="K455" s="7" t="s">
        <v>80</v>
      </c>
      <c r="L455" s="7" t="s">
        <v>42</v>
      </c>
      <c r="M455" s="7" t="s">
        <v>1354</v>
      </c>
      <c r="N455" s="9" t="s">
        <v>32</v>
      </c>
      <c r="O455" s="9" t="s">
        <v>407</v>
      </c>
      <c r="P455" s="9" t="s">
        <v>34</v>
      </c>
      <c r="Q455" s="10" t="str">
        <f>IF(IDMaster[[#This Row],[Consumption]]="Consumption",IDMaster[[#This Row],[Consumption]],IDMaster[[#This Row],[Basis]])</f>
        <v>Revenue</v>
      </c>
      <c r="R455" s="7" t="str">
        <f>IDMaster[[#This Row],[Supported Group]]&amp;"."&amp;IDMaster[[#This Row],[Basis]]</f>
        <v>IT Dev Tools.Revenue</v>
      </c>
      <c r="S455" s="11">
        <v>0.42185161428265983</v>
      </c>
      <c r="T455" s="12">
        <v>0.57814838571734017</v>
      </c>
      <c r="U455" s="12">
        <v>0</v>
      </c>
      <c r="V455" s="12">
        <v>0</v>
      </c>
      <c r="W455" s="12">
        <v>0</v>
      </c>
    </row>
    <row r="456" spans="1:23" x14ac:dyDescent="0.35">
      <c r="A456" s="7" t="s">
        <v>23</v>
      </c>
      <c r="B456" s="7" t="s">
        <v>1355</v>
      </c>
      <c r="C456" s="7" t="s">
        <v>1356</v>
      </c>
      <c r="D456" s="8">
        <v>175123</v>
      </c>
      <c r="E456" s="7" t="s">
        <v>265</v>
      </c>
      <c r="F456" s="7" t="s">
        <v>1357</v>
      </c>
      <c r="G456" s="7" t="s">
        <v>48</v>
      </c>
      <c r="H456" s="7" t="s">
        <v>27</v>
      </c>
      <c r="I456" s="7" t="s">
        <v>28</v>
      </c>
      <c r="J456" s="7" t="s">
        <v>40</v>
      </c>
      <c r="K456" s="7" t="s">
        <v>80</v>
      </c>
      <c r="L456" s="7" t="s">
        <v>42</v>
      </c>
      <c r="M456" s="7" t="s">
        <v>1358</v>
      </c>
      <c r="N456" s="9" t="s">
        <v>32</v>
      </c>
      <c r="O456" s="9" t="s">
        <v>33</v>
      </c>
      <c r="P456" s="9" t="s">
        <v>34</v>
      </c>
      <c r="Q456" s="10" t="str">
        <f>IF(IDMaster[[#This Row],[Consumption]]="Consumption",IDMaster[[#This Row],[Consumption]],IDMaster[[#This Row],[Basis]])</f>
        <v>Revenue</v>
      </c>
      <c r="R456" s="7" t="str">
        <f>IDMaster[[#This Row],[Supported Group]]&amp;"."&amp;IDMaster[[#This Row],[Basis]]</f>
        <v>IT Tools.Revenue</v>
      </c>
      <c r="S456" s="11">
        <v>0.42185161428265983</v>
      </c>
      <c r="T456" s="12">
        <v>0.57814838571734017</v>
      </c>
      <c r="U456" s="12">
        <v>0</v>
      </c>
      <c r="V456" s="12">
        <v>0</v>
      </c>
      <c r="W456" s="12">
        <v>0</v>
      </c>
    </row>
    <row r="457" spans="1:23" x14ac:dyDescent="0.35">
      <c r="A457" s="7" t="s">
        <v>23</v>
      </c>
      <c r="B457" s="7" t="s">
        <v>1359</v>
      </c>
      <c r="C457" s="7" t="s">
        <v>1356</v>
      </c>
      <c r="D457" s="8">
        <v>175123</v>
      </c>
      <c r="E457" s="7" t="s">
        <v>265</v>
      </c>
      <c r="F457" s="7" t="s">
        <v>1357</v>
      </c>
      <c r="G457" s="7" t="s">
        <v>48</v>
      </c>
      <c r="H457" s="7" t="s">
        <v>27</v>
      </c>
      <c r="I457" s="7" t="s">
        <v>28</v>
      </c>
      <c r="J457" s="7" t="s">
        <v>40</v>
      </c>
      <c r="K457" s="7" t="s">
        <v>80</v>
      </c>
      <c r="L457" s="7" t="s">
        <v>42</v>
      </c>
      <c r="M457" s="7" t="s">
        <v>1358</v>
      </c>
      <c r="N457" s="9" t="s">
        <v>32</v>
      </c>
      <c r="O457" s="9" t="s">
        <v>33</v>
      </c>
      <c r="P457" s="9" t="s">
        <v>34</v>
      </c>
      <c r="Q457" s="10" t="str">
        <f>IF(IDMaster[[#This Row],[Consumption]]="Consumption",IDMaster[[#This Row],[Consumption]],IDMaster[[#This Row],[Basis]])</f>
        <v>Revenue</v>
      </c>
      <c r="R457" s="7" t="str">
        <f>IDMaster[[#This Row],[Supported Group]]&amp;"."&amp;IDMaster[[#This Row],[Basis]]</f>
        <v>IT Tools.Revenue</v>
      </c>
      <c r="S457" s="11">
        <v>0.42185161428265983</v>
      </c>
      <c r="T457" s="12">
        <v>0.57814838571734017</v>
      </c>
      <c r="U457" s="12">
        <v>0</v>
      </c>
      <c r="V457" s="12">
        <v>0</v>
      </c>
      <c r="W457" s="12">
        <v>0</v>
      </c>
    </row>
    <row r="458" spans="1:23" x14ac:dyDescent="0.35">
      <c r="A458" s="7" t="s">
        <v>23</v>
      </c>
      <c r="B458" s="7" t="s">
        <v>1360</v>
      </c>
      <c r="C458" s="15" t="s">
        <v>404</v>
      </c>
      <c r="D458" s="8">
        <v>256620</v>
      </c>
      <c r="E458" s="7" t="s">
        <v>451</v>
      </c>
      <c r="F458" s="7" t="s">
        <v>1361</v>
      </c>
      <c r="G458" s="7" t="s">
        <v>72</v>
      </c>
      <c r="H458" s="7" t="s">
        <v>489</v>
      </c>
      <c r="I458" s="7" t="s">
        <v>28</v>
      </c>
      <c r="J458" s="7" t="s">
        <v>40</v>
      </c>
      <c r="K458" s="7" t="s">
        <v>80</v>
      </c>
      <c r="L458" s="7" t="s">
        <v>42</v>
      </c>
      <c r="M458" s="7" t="s">
        <v>1362</v>
      </c>
      <c r="N458" s="9" t="s">
        <v>32</v>
      </c>
      <c r="O458" s="9" t="s">
        <v>407</v>
      </c>
      <c r="P458" s="9" t="s">
        <v>34</v>
      </c>
      <c r="Q458" s="10" t="str">
        <f>IF(IDMaster[[#This Row],[Consumption]]="Consumption",IDMaster[[#This Row],[Consumption]],IDMaster[[#This Row],[Basis]])</f>
        <v>Revenue</v>
      </c>
      <c r="R458" s="7" t="str">
        <f>IDMaster[[#This Row],[Supported Group]]&amp;"."&amp;IDMaster[[#This Row],[Basis]]</f>
        <v>IT Dev Tools.Revenue</v>
      </c>
      <c r="S458" s="11">
        <v>0.42185161428265983</v>
      </c>
      <c r="T458" s="12">
        <v>0.57814838571734017</v>
      </c>
      <c r="U458" s="12">
        <v>0</v>
      </c>
      <c r="V458" s="12">
        <v>0</v>
      </c>
      <c r="W458" s="12">
        <v>0</v>
      </c>
    </row>
    <row r="459" spans="1:23" x14ac:dyDescent="0.35">
      <c r="A459" s="7" t="s">
        <v>23</v>
      </c>
      <c r="B459" s="7" t="s">
        <v>1363</v>
      </c>
      <c r="C459" s="7" t="s">
        <v>335</v>
      </c>
      <c r="D459" s="8">
        <v>233525</v>
      </c>
      <c r="E459" s="7" t="s">
        <v>46</v>
      </c>
      <c r="F459" s="7" t="s">
        <v>1364</v>
      </c>
      <c r="G459" s="7" t="s">
        <v>48</v>
      </c>
      <c r="H459" s="7" t="s">
        <v>27</v>
      </c>
      <c r="I459" s="7" t="s">
        <v>28</v>
      </c>
      <c r="J459" s="7" t="s">
        <v>40</v>
      </c>
      <c r="K459" s="7" t="s">
        <v>80</v>
      </c>
      <c r="L459" s="7" t="s">
        <v>42</v>
      </c>
      <c r="M459" s="7" t="s">
        <v>1365</v>
      </c>
      <c r="N459" s="9" t="s">
        <v>32</v>
      </c>
      <c r="O459" s="9" t="s">
        <v>51</v>
      </c>
      <c r="P459" s="9" t="s">
        <v>34</v>
      </c>
      <c r="Q459" s="10" t="str">
        <f>IF(IDMaster[[#This Row],[Consumption]]="Consumption",IDMaster[[#This Row],[Consumption]],IDMaster[[#This Row],[Basis]])</f>
        <v>Revenue</v>
      </c>
      <c r="R459" s="7" t="str">
        <f>IDMaster[[#This Row],[Supported Group]]&amp;"."&amp;IDMaster[[#This Row],[Basis]]</f>
        <v>IT Infrastructure.Revenue</v>
      </c>
      <c r="S459" s="11">
        <v>0.42185161428265983</v>
      </c>
      <c r="T459" s="12">
        <v>0.57814838571734017</v>
      </c>
      <c r="U459" s="12">
        <v>0</v>
      </c>
      <c r="V459" s="12">
        <v>0</v>
      </c>
      <c r="W459" s="12">
        <v>0</v>
      </c>
    </row>
    <row r="460" spans="1:23" x14ac:dyDescent="0.35">
      <c r="A460" s="7" t="s">
        <v>23</v>
      </c>
      <c r="B460" s="7" t="s">
        <v>1366</v>
      </c>
      <c r="C460" s="7" t="s">
        <v>335</v>
      </c>
      <c r="D460" s="8">
        <v>233525</v>
      </c>
      <c r="E460" s="7" t="s">
        <v>260</v>
      </c>
      <c r="F460" s="7" t="s">
        <v>1367</v>
      </c>
      <c r="G460" s="7" t="s">
        <v>48</v>
      </c>
      <c r="H460" s="7" t="s">
        <v>27</v>
      </c>
      <c r="I460" s="7" t="s">
        <v>28</v>
      </c>
      <c r="J460" s="7" t="s">
        <v>40</v>
      </c>
      <c r="K460" s="7" t="s">
        <v>80</v>
      </c>
      <c r="L460" s="7" t="s">
        <v>42</v>
      </c>
      <c r="M460" s="7" t="s">
        <v>1368</v>
      </c>
      <c r="N460" s="9" t="s">
        <v>32</v>
      </c>
      <c r="O460" s="9" t="s">
        <v>33</v>
      </c>
      <c r="P460" s="9" t="s">
        <v>34</v>
      </c>
      <c r="Q460" s="10" t="str">
        <f>IF(IDMaster[[#This Row],[Consumption]]="Consumption",IDMaster[[#This Row],[Consumption]],IDMaster[[#This Row],[Basis]])</f>
        <v>Revenue</v>
      </c>
      <c r="R460" s="7" t="str">
        <f>IDMaster[[#This Row],[Supported Group]]&amp;"."&amp;IDMaster[[#This Row],[Basis]]</f>
        <v>IT Tools.Revenue</v>
      </c>
      <c r="S460" s="11">
        <v>0.42185161428265983</v>
      </c>
      <c r="T460" s="12">
        <v>0.57814838571734017</v>
      </c>
      <c r="U460" s="12">
        <v>0</v>
      </c>
      <c r="V460" s="12">
        <v>0</v>
      </c>
      <c r="W460" s="12">
        <v>0</v>
      </c>
    </row>
    <row r="461" spans="1:23" x14ac:dyDescent="0.35">
      <c r="A461" s="7" t="s">
        <v>23</v>
      </c>
      <c r="B461" s="7" t="s">
        <v>1369</v>
      </c>
      <c r="C461" s="7" t="s">
        <v>335</v>
      </c>
      <c r="D461" s="8">
        <v>233525</v>
      </c>
      <c r="E461" s="7" t="s">
        <v>291</v>
      </c>
      <c r="F461" s="7" t="s">
        <v>1370</v>
      </c>
      <c r="G461" s="7" t="s">
        <v>48</v>
      </c>
      <c r="H461" s="7" t="s">
        <v>27</v>
      </c>
      <c r="I461" s="7" t="s">
        <v>28</v>
      </c>
      <c r="J461" s="7" t="s">
        <v>40</v>
      </c>
      <c r="K461" s="7" t="s">
        <v>80</v>
      </c>
      <c r="L461" s="7" t="s">
        <v>42</v>
      </c>
      <c r="M461" s="7" t="s">
        <v>43</v>
      </c>
      <c r="N461" s="9" t="s">
        <v>32</v>
      </c>
      <c r="O461" s="9" t="s">
        <v>33</v>
      </c>
      <c r="P461" s="9" t="s">
        <v>34</v>
      </c>
      <c r="Q461" s="10" t="str">
        <f>IF(IDMaster[[#This Row],[Consumption]]="Consumption",IDMaster[[#This Row],[Consumption]],IDMaster[[#This Row],[Basis]])</f>
        <v>Revenue</v>
      </c>
      <c r="R461" s="7" t="str">
        <f>IDMaster[[#This Row],[Supported Group]]&amp;"."&amp;IDMaster[[#This Row],[Basis]]</f>
        <v>IT Tools.Revenue</v>
      </c>
      <c r="S461" s="11">
        <v>0.42185161428265983</v>
      </c>
      <c r="T461" s="12">
        <v>0.57814838571734017</v>
      </c>
      <c r="U461" s="12">
        <v>0</v>
      </c>
      <c r="V461" s="12">
        <v>0</v>
      </c>
      <c r="W461" s="12">
        <v>0</v>
      </c>
    </row>
    <row r="462" spans="1:23" x14ac:dyDescent="0.35">
      <c r="A462" s="7" t="s">
        <v>23</v>
      </c>
      <c r="B462" s="7" t="s">
        <v>1371</v>
      </c>
      <c r="C462" s="7" t="s">
        <v>226</v>
      </c>
      <c r="D462" s="8">
        <v>259622</v>
      </c>
      <c r="E462" s="7" t="s">
        <v>46</v>
      </c>
      <c r="F462" s="7" t="s">
        <v>1372</v>
      </c>
      <c r="G462" s="7" t="s">
        <v>48</v>
      </c>
      <c r="H462" s="7" t="s">
        <v>27</v>
      </c>
      <c r="I462" s="7" t="s">
        <v>28</v>
      </c>
      <c r="J462" s="7" t="s">
        <v>40</v>
      </c>
      <c r="K462" s="7" t="s">
        <v>80</v>
      </c>
      <c r="L462" s="7" t="s">
        <v>42</v>
      </c>
      <c r="M462" s="7" t="s">
        <v>1373</v>
      </c>
      <c r="N462" s="9" t="s">
        <v>92</v>
      </c>
      <c r="O462" s="9" t="s">
        <v>33</v>
      </c>
      <c r="P462" s="9" t="s">
        <v>34</v>
      </c>
      <c r="Q462" s="10" t="str">
        <f>IF(IDMaster[[#This Row],[Consumption]]="Consumption",IDMaster[[#This Row],[Consumption]],IDMaster[[#This Row],[Basis]])</f>
        <v>Total Headcount</v>
      </c>
      <c r="R462" s="7" t="str">
        <f>IDMaster[[#This Row],[Supported Group]]&amp;"."&amp;IDMaster[[#This Row],[Basis]]</f>
        <v>IT Tools.Total Headcount</v>
      </c>
      <c r="S462" s="11">
        <v>0.69106036166058238</v>
      </c>
      <c r="T462" s="12">
        <v>0.14347567705238135</v>
      </c>
      <c r="U462" s="12">
        <v>0</v>
      </c>
      <c r="V462" s="12">
        <v>0</v>
      </c>
      <c r="W462" s="12">
        <v>0.16546396128703625</v>
      </c>
    </row>
    <row r="463" spans="1:23" x14ac:dyDescent="0.35">
      <c r="A463" s="7" t="s">
        <v>23</v>
      </c>
      <c r="B463" s="7" t="s">
        <v>1374</v>
      </c>
      <c r="C463" s="7" t="s">
        <v>226</v>
      </c>
      <c r="D463" s="8">
        <v>259622</v>
      </c>
      <c r="E463" s="7" t="s">
        <v>227</v>
      </c>
      <c r="F463" s="7" t="s">
        <v>1375</v>
      </c>
      <c r="G463" s="7" t="s">
        <v>48</v>
      </c>
      <c r="H463" s="7" t="s">
        <v>27</v>
      </c>
      <c r="I463" s="7" t="s">
        <v>28</v>
      </c>
      <c r="J463" s="7" t="s">
        <v>40</v>
      </c>
      <c r="K463" s="7" t="s">
        <v>80</v>
      </c>
      <c r="L463" s="7" t="s">
        <v>42</v>
      </c>
      <c r="M463" s="7" t="s">
        <v>1376</v>
      </c>
      <c r="N463" s="9" t="s">
        <v>92</v>
      </c>
      <c r="O463" s="9" t="s">
        <v>33</v>
      </c>
      <c r="P463" s="9" t="s">
        <v>34</v>
      </c>
      <c r="Q463" s="10" t="str">
        <f>IF(IDMaster[[#This Row],[Consumption]]="Consumption",IDMaster[[#This Row],[Consumption]],IDMaster[[#This Row],[Basis]])</f>
        <v>Total Headcount</v>
      </c>
      <c r="R463" s="7" t="str">
        <f>IDMaster[[#This Row],[Supported Group]]&amp;"."&amp;IDMaster[[#This Row],[Basis]]</f>
        <v>IT Tools.Total Headcount</v>
      </c>
      <c r="S463" s="11">
        <v>0.69106036166058238</v>
      </c>
      <c r="T463" s="12">
        <v>0.14347567705238135</v>
      </c>
      <c r="U463" s="12">
        <v>0</v>
      </c>
      <c r="V463" s="12">
        <v>0</v>
      </c>
      <c r="W463" s="12">
        <v>0.16546396128703625</v>
      </c>
    </row>
    <row r="464" spans="1:23" x14ac:dyDescent="0.35">
      <c r="A464" s="7" t="s">
        <v>23</v>
      </c>
      <c r="B464" s="7" t="s">
        <v>1377</v>
      </c>
      <c r="C464" s="7" t="s">
        <v>1113</v>
      </c>
      <c r="D464" s="8">
        <v>277100</v>
      </c>
      <c r="E464" s="7" t="s">
        <v>295</v>
      </c>
      <c r="F464" s="7" t="s">
        <v>1114</v>
      </c>
      <c r="G464" s="7" t="s">
        <v>48</v>
      </c>
      <c r="H464" s="7" t="s">
        <v>27</v>
      </c>
      <c r="I464" s="7" t="s">
        <v>28</v>
      </c>
      <c r="J464" s="7" t="s">
        <v>40</v>
      </c>
      <c r="K464" s="7" t="s">
        <v>80</v>
      </c>
      <c r="L464" s="7" t="s">
        <v>42</v>
      </c>
      <c r="M464" s="7" t="s">
        <v>1115</v>
      </c>
      <c r="N464" s="9" t="s">
        <v>32</v>
      </c>
      <c r="O464" s="9" t="s">
        <v>407</v>
      </c>
      <c r="P464" s="9" t="s">
        <v>34</v>
      </c>
      <c r="Q464" s="10" t="str">
        <f>IF(IDMaster[[#This Row],[Consumption]]="Consumption",IDMaster[[#This Row],[Consumption]],IDMaster[[#This Row],[Basis]])</f>
        <v>Revenue</v>
      </c>
      <c r="R464" s="7" t="str">
        <f>IDMaster[[#This Row],[Supported Group]]&amp;"."&amp;IDMaster[[#This Row],[Basis]]</f>
        <v>IT Dev Tools.Revenue</v>
      </c>
      <c r="S464" s="11">
        <v>0.42185161428265983</v>
      </c>
      <c r="T464" s="12">
        <v>0.57814838571734017</v>
      </c>
      <c r="U464" s="12">
        <v>0</v>
      </c>
      <c r="V464" s="12">
        <v>0</v>
      </c>
      <c r="W464" s="12">
        <v>0</v>
      </c>
    </row>
    <row r="465" spans="1:23" x14ac:dyDescent="0.35">
      <c r="A465" s="7" t="s">
        <v>23</v>
      </c>
      <c r="B465" s="7" t="s">
        <v>1378</v>
      </c>
      <c r="C465" s="7" t="s">
        <v>1379</v>
      </c>
      <c r="D465" s="8">
        <v>364487</v>
      </c>
      <c r="E465" s="7" t="s">
        <v>295</v>
      </c>
      <c r="F465" s="7" t="s">
        <v>1380</v>
      </c>
      <c r="G465" s="7" t="s">
        <v>48</v>
      </c>
      <c r="H465" s="7" t="s">
        <v>27</v>
      </c>
      <c r="I465" s="7" t="s">
        <v>28</v>
      </c>
      <c r="J465" s="7" t="s">
        <v>40</v>
      </c>
      <c r="K465" s="7" t="s">
        <v>80</v>
      </c>
      <c r="L465" s="7" t="s">
        <v>42</v>
      </c>
      <c r="M465" s="7" t="s">
        <v>1381</v>
      </c>
      <c r="N465" s="9" t="s">
        <v>32</v>
      </c>
      <c r="O465" s="9" t="s">
        <v>407</v>
      </c>
      <c r="P465" s="9" t="s">
        <v>34</v>
      </c>
      <c r="Q465" s="10" t="str">
        <f>IF(IDMaster[[#This Row],[Consumption]]="Consumption",IDMaster[[#This Row],[Consumption]],IDMaster[[#This Row],[Basis]])</f>
        <v>Revenue</v>
      </c>
      <c r="R465" s="7" t="str">
        <f>IDMaster[[#This Row],[Supported Group]]&amp;"."&amp;IDMaster[[#This Row],[Basis]]</f>
        <v>IT Dev Tools.Revenue</v>
      </c>
      <c r="S465" s="11">
        <v>0.42185161428265983</v>
      </c>
      <c r="T465" s="12">
        <v>0.57814838571734017</v>
      </c>
      <c r="U465" s="12">
        <v>0</v>
      </c>
      <c r="V465" s="12">
        <v>0</v>
      </c>
      <c r="W465" s="12">
        <v>0</v>
      </c>
    </row>
    <row r="466" spans="1:23" x14ac:dyDescent="0.35">
      <c r="A466" s="7" t="s">
        <v>23</v>
      </c>
      <c r="B466" s="7" t="s">
        <v>1382</v>
      </c>
      <c r="C466" s="15" t="s">
        <v>326</v>
      </c>
      <c r="D466" s="8">
        <v>178105</v>
      </c>
      <c r="E466" s="7" t="s">
        <v>584</v>
      </c>
      <c r="F466" s="7" t="s">
        <v>1383</v>
      </c>
      <c r="G466" s="7" t="s">
        <v>1817</v>
      </c>
      <c r="H466" s="7" t="s">
        <v>27</v>
      </c>
      <c r="I466" s="7" t="s">
        <v>28</v>
      </c>
      <c r="J466" s="7" t="s">
        <v>40</v>
      </c>
      <c r="K466" s="7" t="s">
        <v>80</v>
      </c>
      <c r="L466" s="7" t="s">
        <v>42</v>
      </c>
      <c r="M466" s="7" t="s">
        <v>43</v>
      </c>
      <c r="N466" s="9" t="s">
        <v>32</v>
      </c>
      <c r="O466" s="9" t="s">
        <v>51</v>
      </c>
      <c r="P466" s="9" t="s">
        <v>34</v>
      </c>
      <c r="Q466" s="10" t="str">
        <f>IF(IDMaster[[#This Row],[Consumption]]="Consumption",IDMaster[[#This Row],[Consumption]],IDMaster[[#This Row],[Basis]])</f>
        <v>Revenue</v>
      </c>
      <c r="R466" s="7" t="str">
        <f>IDMaster[[#This Row],[Supported Group]]&amp;"."&amp;IDMaster[[#This Row],[Basis]]</f>
        <v>IT Infrastructure.Revenue</v>
      </c>
      <c r="S466" s="11">
        <v>0.42185161428265983</v>
      </c>
      <c r="T466" s="12">
        <v>0.57814838571734017</v>
      </c>
      <c r="U466" s="12">
        <v>0</v>
      </c>
      <c r="V466" s="12">
        <v>0</v>
      </c>
      <c r="W466" s="12">
        <v>0</v>
      </c>
    </row>
    <row r="467" spans="1:23" x14ac:dyDescent="0.35">
      <c r="A467" s="7" t="s">
        <v>23</v>
      </c>
      <c r="B467" s="7" t="s">
        <v>1384</v>
      </c>
      <c r="C467" s="15" t="s">
        <v>326</v>
      </c>
      <c r="D467" s="8">
        <v>178105</v>
      </c>
      <c r="E467" s="7" t="s">
        <v>584</v>
      </c>
      <c r="F467" s="7" t="s">
        <v>1385</v>
      </c>
      <c r="G467" s="7" t="s">
        <v>48</v>
      </c>
      <c r="H467" s="7" t="s">
        <v>27</v>
      </c>
      <c r="I467" s="7" t="s">
        <v>28</v>
      </c>
      <c r="J467" s="7" t="s">
        <v>40</v>
      </c>
      <c r="K467" s="7" t="s">
        <v>80</v>
      </c>
      <c r="L467" s="7" t="s">
        <v>42</v>
      </c>
      <c r="M467" s="7" t="s">
        <v>43</v>
      </c>
      <c r="N467" s="9" t="s">
        <v>32</v>
      </c>
      <c r="O467" s="9" t="s">
        <v>33</v>
      </c>
      <c r="P467" s="9" t="s">
        <v>34</v>
      </c>
      <c r="Q467" s="10" t="str">
        <f>IF(IDMaster[[#This Row],[Consumption]]="Consumption",IDMaster[[#This Row],[Consumption]],IDMaster[[#This Row],[Basis]])</f>
        <v>Revenue</v>
      </c>
      <c r="R467" s="7" t="str">
        <f>IDMaster[[#This Row],[Supported Group]]&amp;"."&amp;IDMaster[[#This Row],[Basis]]</f>
        <v>IT Tools.Revenue</v>
      </c>
      <c r="S467" s="11">
        <v>0.42185161428265983</v>
      </c>
      <c r="T467" s="12">
        <v>0.57814838571734017</v>
      </c>
      <c r="U467" s="12">
        <v>0</v>
      </c>
      <c r="V467" s="12">
        <v>0</v>
      </c>
      <c r="W467" s="12">
        <v>0</v>
      </c>
    </row>
    <row r="468" spans="1:23" x14ac:dyDescent="0.35">
      <c r="A468" s="7" t="s">
        <v>23</v>
      </c>
      <c r="B468" s="7" t="s">
        <v>1386</v>
      </c>
      <c r="C468" s="7" t="s">
        <v>326</v>
      </c>
      <c r="D468" s="8">
        <v>178105</v>
      </c>
      <c r="E468" s="7" t="s">
        <v>260</v>
      </c>
      <c r="F468" s="7" t="s">
        <v>1387</v>
      </c>
      <c r="G468" s="7" t="s">
        <v>48</v>
      </c>
      <c r="H468" s="7" t="s">
        <v>27</v>
      </c>
      <c r="I468" s="7" t="s">
        <v>28</v>
      </c>
      <c r="J468" s="7" t="s">
        <v>40</v>
      </c>
      <c r="K468" s="7" t="s">
        <v>80</v>
      </c>
      <c r="L468" s="7" t="s">
        <v>42</v>
      </c>
      <c r="M468" s="7" t="s">
        <v>796</v>
      </c>
      <c r="N468" s="9" t="s">
        <v>32</v>
      </c>
      <c r="O468" s="9" t="s">
        <v>51</v>
      </c>
      <c r="P468" s="9" t="s">
        <v>34</v>
      </c>
      <c r="Q468" s="10" t="str">
        <f>IF(IDMaster[[#This Row],[Consumption]]="Consumption",IDMaster[[#This Row],[Consumption]],IDMaster[[#This Row],[Basis]])</f>
        <v>Revenue</v>
      </c>
      <c r="R468" s="7" t="str">
        <f>IDMaster[[#This Row],[Supported Group]]&amp;"."&amp;IDMaster[[#This Row],[Basis]]</f>
        <v>IT Infrastructure.Revenue</v>
      </c>
      <c r="S468" s="11">
        <v>0.42185161428265983</v>
      </c>
      <c r="T468" s="12">
        <v>0.57814838571734017</v>
      </c>
      <c r="U468" s="12">
        <v>0</v>
      </c>
      <c r="V468" s="12">
        <v>0</v>
      </c>
      <c r="W468" s="12">
        <v>0</v>
      </c>
    </row>
    <row r="469" spans="1:23" x14ac:dyDescent="0.35">
      <c r="A469" s="7" t="s">
        <v>23</v>
      </c>
      <c r="B469" s="7" t="s">
        <v>1388</v>
      </c>
      <c r="C469" s="15" t="s">
        <v>329</v>
      </c>
      <c r="D469" s="8">
        <v>207712</v>
      </c>
      <c r="E469" s="7" t="s">
        <v>584</v>
      </c>
      <c r="F469" s="7" t="s">
        <v>1389</v>
      </c>
      <c r="G469" s="7" t="s">
        <v>48</v>
      </c>
      <c r="H469" s="7" t="s">
        <v>27</v>
      </c>
      <c r="I469" s="7" t="s">
        <v>28</v>
      </c>
      <c r="J469" s="7" t="s">
        <v>40</v>
      </c>
      <c r="K469" s="7" t="s">
        <v>80</v>
      </c>
      <c r="L469" s="7" t="s">
        <v>42</v>
      </c>
      <c r="M469" s="7" t="s">
        <v>43</v>
      </c>
      <c r="N469" s="9" t="s">
        <v>92</v>
      </c>
      <c r="O469" s="9" t="s">
        <v>33</v>
      </c>
      <c r="P469" s="9" t="s">
        <v>34</v>
      </c>
      <c r="Q469" s="10" t="str">
        <f>IF(IDMaster[[#This Row],[Consumption]]="Consumption",IDMaster[[#This Row],[Consumption]],IDMaster[[#This Row],[Basis]])</f>
        <v>Total Headcount</v>
      </c>
      <c r="R469" s="7" t="str">
        <f>IDMaster[[#This Row],[Supported Group]]&amp;"."&amp;IDMaster[[#This Row],[Basis]]</f>
        <v>IT Tools.Total Headcount</v>
      </c>
      <c r="S469" s="11">
        <v>0.69106036166058238</v>
      </c>
      <c r="T469" s="12">
        <v>0.14347567705238135</v>
      </c>
      <c r="U469" s="12">
        <v>0</v>
      </c>
      <c r="V469" s="12">
        <v>0</v>
      </c>
      <c r="W469" s="12">
        <v>0.16546396128703625</v>
      </c>
    </row>
    <row r="470" spans="1:23" x14ac:dyDescent="0.35">
      <c r="A470" s="7" t="s">
        <v>23</v>
      </c>
      <c r="B470" s="7" t="s">
        <v>1390</v>
      </c>
      <c r="C470" s="7" t="s">
        <v>329</v>
      </c>
      <c r="D470" s="8">
        <v>207712</v>
      </c>
      <c r="E470" s="7" t="s">
        <v>312</v>
      </c>
      <c r="F470" s="7" t="s">
        <v>1391</v>
      </c>
      <c r="G470" s="7" t="s">
        <v>48</v>
      </c>
      <c r="H470" s="7" t="s">
        <v>27</v>
      </c>
      <c r="I470" s="7" t="s">
        <v>28</v>
      </c>
      <c r="J470" s="7" t="s">
        <v>267</v>
      </c>
      <c r="K470" s="7" t="s">
        <v>80</v>
      </c>
      <c r="L470" s="7" t="s">
        <v>42</v>
      </c>
      <c r="M470" s="7" t="s">
        <v>1392</v>
      </c>
      <c r="N470" s="9" t="s">
        <v>32</v>
      </c>
      <c r="O470" s="9" t="s">
        <v>51</v>
      </c>
      <c r="P470" s="9" t="s">
        <v>34</v>
      </c>
      <c r="Q470" s="10" t="str">
        <f>IF(IDMaster[[#This Row],[Consumption]]="Consumption",IDMaster[[#This Row],[Consumption]],IDMaster[[#This Row],[Basis]])</f>
        <v>Revenue</v>
      </c>
      <c r="R470" s="7" t="str">
        <f>IDMaster[[#This Row],[Supported Group]]&amp;"."&amp;IDMaster[[#This Row],[Basis]]</f>
        <v>IT Infrastructure.Revenue</v>
      </c>
      <c r="S470" s="11">
        <v>0.42185161428265983</v>
      </c>
      <c r="T470" s="12">
        <v>0.57814838571734017</v>
      </c>
      <c r="U470" s="12">
        <v>0</v>
      </c>
      <c r="V470" s="12">
        <v>0</v>
      </c>
      <c r="W470" s="12">
        <v>0</v>
      </c>
    </row>
    <row r="471" spans="1:23" x14ac:dyDescent="0.35">
      <c r="A471" s="7" t="s">
        <v>23</v>
      </c>
      <c r="B471" s="7" t="s">
        <v>1393</v>
      </c>
      <c r="C471" s="7" t="s">
        <v>329</v>
      </c>
      <c r="D471" s="8">
        <v>207712</v>
      </c>
      <c r="E471" s="7" t="s">
        <v>46</v>
      </c>
      <c r="F471" s="7" t="s">
        <v>1394</v>
      </c>
      <c r="G471" s="7" t="s">
        <v>48</v>
      </c>
      <c r="H471" s="7" t="s">
        <v>27</v>
      </c>
      <c r="I471" s="7" t="s">
        <v>28</v>
      </c>
      <c r="J471" s="7" t="s">
        <v>40</v>
      </c>
      <c r="K471" s="7" t="s">
        <v>80</v>
      </c>
      <c r="L471" s="7" t="s">
        <v>42</v>
      </c>
      <c r="M471" s="7" t="s">
        <v>1395</v>
      </c>
      <c r="N471" s="9" t="s">
        <v>92</v>
      </c>
      <c r="O471" s="9" t="s">
        <v>33</v>
      </c>
      <c r="P471" s="9" t="s">
        <v>34</v>
      </c>
      <c r="Q471" s="10" t="str">
        <f>IF(IDMaster[[#This Row],[Consumption]]="Consumption",IDMaster[[#This Row],[Consumption]],IDMaster[[#This Row],[Basis]])</f>
        <v>Total Headcount</v>
      </c>
      <c r="R471" s="7" t="str">
        <f>IDMaster[[#This Row],[Supported Group]]&amp;"."&amp;IDMaster[[#This Row],[Basis]]</f>
        <v>IT Tools.Total Headcount</v>
      </c>
      <c r="S471" s="11">
        <v>0.69106036166058238</v>
      </c>
      <c r="T471" s="12">
        <v>0.14347567705238135</v>
      </c>
      <c r="U471" s="12">
        <v>0</v>
      </c>
      <c r="V471" s="12">
        <v>0</v>
      </c>
      <c r="W471" s="12">
        <v>0.16546396128703625</v>
      </c>
    </row>
    <row r="472" spans="1:23" x14ac:dyDescent="0.35">
      <c r="A472" s="7" t="s">
        <v>23</v>
      </c>
      <c r="B472" s="7" t="s">
        <v>1396</v>
      </c>
      <c r="C472" s="7" t="s">
        <v>948</v>
      </c>
      <c r="D472" s="8">
        <v>311067</v>
      </c>
      <c r="E472" s="7" t="s">
        <v>295</v>
      </c>
      <c r="F472" s="7" t="s">
        <v>1397</v>
      </c>
      <c r="G472" s="7" t="s">
        <v>48</v>
      </c>
      <c r="H472" s="7" t="s">
        <v>27</v>
      </c>
      <c r="I472" s="7" t="s">
        <v>28</v>
      </c>
      <c r="J472" s="7" t="s">
        <v>40</v>
      </c>
      <c r="K472" s="7" t="s">
        <v>80</v>
      </c>
      <c r="L472" s="7" t="s">
        <v>42</v>
      </c>
      <c r="M472" s="7" t="s">
        <v>43</v>
      </c>
      <c r="N472" s="9" t="s">
        <v>32</v>
      </c>
      <c r="O472" s="9" t="s">
        <v>33</v>
      </c>
      <c r="P472" s="9" t="s">
        <v>34</v>
      </c>
      <c r="Q472" s="10" t="str">
        <f>IF(IDMaster[[#This Row],[Consumption]]="Consumption",IDMaster[[#This Row],[Consumption]],IDMaster[[#This Row],[Basis]])</f>
        <v>Revenue</v>
      </c>
      <c r="R472" s="7" t="str">
        <f>IDMaster[[#This Row],[Supported Group]]&amp;"."&amp;IDMaster[[#This Row],[Basis]]</f>
        <v>IT Tools.Revenue</v>
      </c>
      <c r="S472" s="11">
        <v>0.42185161428265983</v>
      </c>
      <c r="T472" s="12">
        <v>0.57814838571734017</v>
      </c>
      <c r="U472" s="12">
        <v>0</v>
      </c>
      <c r="V472" s="12">
        <v>0</v>
      </c>
      <c r="W472" s="12">
        <v>0</v>
      </c>
    </row>
    <row r="473" spans="1:23" x14ac:dyDescent="0.35">
      <c r="A473" s="7" t="s">
        <v>23</v>
      </c>
      <c r="B473" s="7" t="s">
        <v>1398</v>
      </c>
      <c r="C473" s="7" t="s">
        <v>1203</v>
      </c>
      <c r="D473" s="8">
        <v>280617</v>
      </c>
      <c r="E473" s="7" t="s">
        <v>295</v>
      </c>
      <c r="F473" s="7" t="s">
        <v>1399</v>
      </c>
      <c r="G473" s="7" t="s">
        <v>48</v>
      </c>
      <c r="H473" s="7" t="s">
        <v>27</v>
      </c>
      <c r="I473" s="7" t="s">
        <v>28</v>
      </c>
      <c r="J473" s="7" t="s">
        <v>40</v>
      </c>
      <c r="K473" s="7" t="s">
        <v>80</v>
      </c>
      <c r="L473" s="7" t="s">
        <v>42</v>
      </c>
      <c r="M473" s="7" t="s">
        <v>1400</v>
      </c>
      <c r="N473" s="9" t="s">
        <v>32</v>
      </c>
      <c r="O473" s="9" t="s">
        <v>33</v>
      </c>
      <c r="P473" s="9" t="s">
        <v>34</v>
      </c>
      <c r="Q473" s="10" t="str">
        <f>IF(IDMaster[[#This Row],[Consumption]]="Consumption",IDMaster[[#This Row],[Consumption]],IDMaster[[#This Row],[Basis]])</f>
        <v>Revenue</v>
      </c>
      <c r="R473" s="7" t="str">
        <f>IDMaster[[#This Row],[Supported Group]]&amp;"."&amp;IDMaster[[#This Row],[Basis]]</f>
        <v>IT Tools.Revenue</v>
      </c>
      <c r="S473" s="11">
        <v>0.42185161428265983</v>
      </c>
      <c r="T473" s="12">
        <v>0.57814838571734017</v>
      </c>
      <c r="U473" s="12">
        <v>0</v>
      </c>
      <c r="V473" s="12">
        <v>0</v>
      </c>
      <c r="W473" s="12">
        <v>0</v>
      </c>
    </row>
    <row r="474" spans="1:23" x14ac:dyDescent="0.35">
      <c r="A474" s="7" t="s">
        <v>23</v>
      </c>
      <c r="B474" s="7" t="s">
        <v>1401</v>
      </c>
      <c r="C474" s="7" t="s">
        <v>1402</v>
      </c>
      <c r="D474" s="8">
        <v>274454</v>
      </c>
      <c r="E474" s="7" t="s">
        <v>169</v>
      </c>
      <c r="F474" s="7" t="s">
        <v>1403</v>
      </c>
      <c r="G474" s="7" t="s">
        <v>72</v>
      </c>
      <c r="H474" s="7" t="s">
        <v>27</v>
      </c>
      <c r="I474" s="7" t="s">
        <v>28</v>
      </c>
      <c r="J474" s="7" t="s">
        <v>40</v>
      </c>
      <c r="K474" s="7" t="s">
        <v>80</v>
      </c>
      <c r="L474" s="7" t="s">
        <v>42</v>
      </c>
      <c r="M474" s="7" t="s">
        <v>1404</v>
      </c>
      <c r="N474" s="9" t="s">
        <v>32</v>
      </c>
      <c r="O474" s="9" t="s">
        <v>407</v>
      </c>
      <c r="P474" s="9" t="s">
        <v>34</v>
      </c>
      <c r="Q474" s="10" t="str">
        <f>IF(IDMaster[[#This Row],[Consumption]]="Consumption",IDMaster[[#This Row],[Consumption]],IDMaster[[#This Row],[Basis]])</f>
        <v>Revenue</v>
      </c>
      <c r="R474" s="7" t="str">
        <f>IDMaster[[#This Row],[Supported Group]]&amp;"."&amp;IDMaster[[#This Row],[Basis]]</f>
        <v>IT Dev Tools.Revenue</v>
      </c>
      <c r="S474" s="11">
        <v>0.42185161428265983</v>
      </c>
      <c r="T474" s="12">
        <v>0.57814838571734017</v>
      </c>
      <c r="U474" s="12">
        <v>0</v>
      </c>
      <c r="V474" s="12">
        <v>0</v>
      </c>
      <c r="W474" s="12">
        <v>0</v>
      </c>
    </row>
    <row r="475" spans="1:23" x14ac:dyDescent="0.35">
      <c r="A475" s="7" t="s">
        <v>23</v>
      </c>
      <c r="B475" s="7" t="s">
        <v>1405</v>
      </c>
      <c r="C475" s="7" t="s">
        <v>1406</v>
      </c>
      <c r="D475" s="8">
        <v>308606</v>
      </c>
      <c r="E475" s="7" t="s">
        <v>295</v>
      </c>
      <c r="F475" s="7" t="s">
        <v>1407</v>
      </c>
      <c r="G475" s="7" t="s">
        <v>48</v>
      </c>
      <c r="H475" s="7" t="s">
        <v>27</v>
      </c>
      <c r="I475" s="7" t="s">
        <v>28</v>
      </c>
      <c r="J475" s="7" t="s">
        <v>40</v>
      </c>
      <c r="K475" s="7" t="s">
        <v>80</v>
      </c>
      <c r="L475" s="7" t="s">
        <v>42</v>
      </c>
      <c r="M475" s="7" t="s">
        <v>1408</v>
      </c>
      <c r="N475" s="9" t="s">
        <v>32</v>
      </c>
      <c r="O475" s="9" t="s">
        <v>33</v>
      </c>
      <c r="P475" s="9" t="s">
        <v>34</v>
      </c>
      <c r="Q475" s="10" t="str">
        <f>IF(IDMaster[[#This Row],[Consumption]]="Consumption",IDMaster[[#This Row],[Consumption]],IDMaster[[#This Row],[Basis]])</f>
        <v>Revenue</v>
      </c>
      <c r="R475" s="7" t="str">
        <f>IDMaster[[#This Row],[Supported Group]]&amp;"."&amp;IDMaster[[#This Row],[Basis]]</f>
        <v>IT Tools.Revenue</v>
      </c>
      <c r="S475" s="11">
        <v>0.42185161428265983</v>
      </c>
      <c r="T475" s="12">
        <v>0.57814838571734017</v>
      </c>
      <c r="U475" s="12">
        <v>0</v>
      </c>
      <c r="V475" s="12">
        <v>0</v>
      </c>
      <c r="W475" s="12">
        <v>0</v>
      </c>
    </row>
    <row r="476" spans="1:23" x14ac:dyDescent="0.35">
      <c r="A476" s="7" t="s">
        <v>23</v>
      </c>
      <c r="B476" s="7" t="s">
        <v>1409</v>
      </c>
      <c r="C476" s="7" t="s">
        <v>1410</v>
      </c>
      <c r="D476" s="8">
        <v>353203</v>
      </c>
      <c r="E476" s="7" t="s">
        <v>46</v>
      </c>
      <c r="F476" s="7" t="s">
        <v>1411</v>
      </c>
      <c r="G476" s="7" t="s">
        <v>48</v>
      </c>
      <c r="H476" s="7" t="s">
        <v>27</v>
      </c>
      <c r="I476" s="7" t="s">
        <v>28</v>
      </c>
      <c r="J476" s="7" t="s">
        <v>40</v>
      </c>
      <c r="K476" s="7" t="s">
        <v>41</v>
      </c>
      <c r="L476" s="7" t="s">
        <v>42</v>
      </c>
      <c r="M476" s="7" t="s">
        <v>1411</v>
      </c>
      <c r="N476" s="9" t="s">
        <v>32</v>
      </c>
      <c r="O476" s="9" t="s">
        <v>33</v>
      </c>
      <c r="P476" s="9" t="s">
        <v>34</v>
      </c>
      <c r="Q476" s="10" t="str">
        <f>IF(IDMaster[[#This Row],[Consumption]]="Consumption",IDMaster[[#This Row],[Consumption]],IDMaster[[#This Row],[Basis]])</f>
        <v>Revenue</v>
      </c>
      <c r="R476" s="7" t="str">
        <f>IDMaster[[#This Row],[Supported Group]]&amp;"."&amp;IDMaster[[#This Row],[Basis]]</f>
        <v>IT Tools.Revenue</v>
      </c>
      <c r="S476" s="11">
        <v>0.42185161428265983</v>
      </c>
      <c r="T476" s="12">
        <v>0.57814838571734017</v>
      </c>
      <c r="U476" s="12">
        <v>0</v>
      </c>
      <c r="V476" s="12">
        <v>0</v>
      </c>
      <c r="W476" s="12">
        <v>0</v>
      </c>
    </row>
    <row r="477" spans="1:23" x14ac:dyDescent="0.35">
      <c r="A477" s="7" t="s">
        <v>23</v>
      </c>
      <c r="B477" s="7" t="s">
        <v>1412</v>
      </c>
      <c r="C477" s="7" t="s">
        <v>329</v>
      </c>
      <c r="D477" s="8">
        <v>207712</v>
      </c>
      <c r="E477" s="7" t="s">
        <v>260</v>
      </c>
      <c r="F477" s="7" t="s">
        <v>1413</v>
      </c>
      <c r="G477" s="7" t="s">
        <v>48</v>
      </c>
      <c r="H477" s="7" t="s">
        <v>27</v>
      </c>
      <c r="I477" s="7" t="s">
        <v>28</v>
      </c>
      <c r="J477" s="7" t="s">
        <v>40</v>
      </c>
      <c r="K477" s="7" t="s">
        <v>80</v>
      </c>
      <c r="L477" s="7" t="s">
        <v>42</v>
      </c>
      <c r="M477" s="7" t="s">
        <v>1414</v>
      </c>
      <c r="N477" s="9" t="s">
        <v>32</v>
      </c>
      <c r="O477" s="9" t="s">
        <v>51</v>
      </c>
      <c r="P477" s="9" t="s">
        <v>34</v>
      </c>
      <c r="Q477" s="10" t="str">
        <f>IF(IDMaster[[#This Row],[Consumption]]="Consumption",IDMaster[[#This Row],[Consumption]],IDMaster[[#This Row],[Basis]])</f>
        <v>Revenue</v>
      </c>
      <c r="R477" s="7" t="str">
        <f>IDMaster[[#This Row],[Supported Group]]&amp;"."&amp;IDMaster[[#This Row],[Basis]]</f>
        <v>IT Infrastructure.Revenue</v>
      </c>
      <c r="S477" s="11">
        <v>0.42185161428265983</v>
      </c>
      <c r="T477" s="12">
        <v>0.57814838571734017</v>
      </c>
      <c r="U477" s="12">
        <v>0</v>
      </c>
      <c r="V477" s="12">
        <v>0</v>
      </c>
      <c r="W477" s="12">
        <v>0</v>
      </c>
    </row>
    <row r="478" spans="1:23" x14ac:dyDescent="0.35">
      <c r="A478" s="7" t="s">
        <v>23</v>
      </c>
      <c r="B478" s="7" t="s">
        <v>1415</v>
      </c>
      <c r="C478" s="7" t="s">
        <v>1416</v>
      </c>
      <c r="D478" s="8">
        <v>315842</v>
      </c>
      <c r="E478" s="7" t="s">
        <v>312</v>
      </c>
      <c r="F478" s="7" t="s">
        <v>1417</v>
      </c>
      <c r="G478" s="7" t="s">
        <v>48</v>
      </c>
      <c r="H478" s="7" t="s">
        <v>27</v>
      </c>
      <c r="I478" s="7" t="s">
        <v>28</v>
      </c>
      <c r="J478" s="7" t="s">
        <v>40</v>
      </c>
      <c r="K478" s="7" t="s">
        <v>80</v>
      </c>
      <c r="L478" s="7" t="s">
        <v>42</v>
      </c>
      <c r="M478" s="7" t="s">
        <v>1418</v>
      </c>
      <c r="N478" s="9" t="s">
        <v>32</v>
      </c>
      <c r="O478" s="9" t="s">
        <v>33</v>
      </c>
      <c r="P478" s="9" t="s">
        <v>34</v>
      </c>
      <c r="Q478" s="10" t="str">
        <f>IF(IDMaster[[#This Row],[Consumption]]="Consumption",IDMaster[[#This Row],[Consumption]],IDMaster[[#This Row],[Basis]])</f>
        <v>Revenue</v>
      </c>
      <c r="R478" s="7" t="str">
        <f>IDMaster[[#This Row],[Supported Group]]&amp;"."&amp;IDMaster[[#This Row],[Basis]]</f>
        <v>IT Tools.Revenue</v>
      </c>
      <c r="S478" s="11">
        <v>0.42185161428265983</v>
      </c>
      <c r="T478" s="12">
        <v>0.57814838571734017</v>
      </c>
      <c r="U478" s="12">
        <v>0</v>
      </c>
      <c r="V478" s="12">
        <v>0</v>
      </c>
      <c r="W478" s="12">
        <v>0</v>
      </c>
    </row>
    <row r="479" spans="1:23" x14ac:dyDescent="0.35">
      <c r="A479" s="7" t="s">
        <v>23</v>
      </c>
      <c r="B479" s="7" t="s">
        <v>1419</v>
      </c>
      <c r="C479" s="7" t="s">
        <v>89</v>
      </c>
      <c r="D479" s="8">
        <v>251595</v>
      </c>
      <c r="E479" s="7" t="s">
        <v>46</v>
      </c>
      <c r="F479" s="7" t="s">
        <v>1420</v>
      </c>
      <c r="G479" s="7" t="s">
        <v>48</v>
      </c>
      <c r="H479" s="7" t="s">
        <v>27</v>
      </c>
      <c r="I479" s="7" t="s">
        <v>28</v>
      </c>
      <c r="J479" s="7" t="s">
        <v>40</v>
      </c>
      <c r="K479" s="7" t="s">
        <v>80</v>
      </c>
      <c r="L479" s="7" t="s">
        <v>42</v>
      </c>
      <c r="M479" s="7" t="s">
        <v>1421</v>
      </c>
      <c r="N479" s="9" t="s">
        <v>92</v>
      </c>
      <c r="O479" s="9" t="s">
        <v>33</v>
      </c>
      <c r="P479" s="9" t="s">
        <v>34</v>
      </c>
      <c r="Q479" s="10" t="str">
        <f>IF(IDMaster[[#This Row],[Consumption]]="Consumption",IDMaster[[#This Row],[Consumption]],IDMaster[[#This Row],[Basis]])</f>
        <v>Total Headcount</v>
      </c>
      <c r="R479" s="7" t="str">
        <f>IDMaster[[#This Row],[Supported Group]]&amp;"."&amp;IDMaster[[#This Row],[Basis]]</f>
        <v>IT Tools.Total Headcount</v>
      </c>
      <c r="S479" s="11">
        <v>0.69106036166058238</v>
      </c>
      <c r="T479" s="12">
        <v>0.14347567705238135</v>
      </c>
      <c r="U479" s="12">
        <v>0</v>
      </c>
      <c r="V479" s="12">
        <v>0</v>
      </c>
      <c r="W479" s="12">
        <v>0.16546396128703625</v>
      </c>
    </row>
    <row r="480" spans="1:23" x14ac:dyDescent="0.35">
      <c r="A480" s="7" t="s">
        <v>23</v>
      </c>
      <c r="B480" s="7" t="s">
        <v>1422</v>
      </c>
      <c r="C480" s="7" t="s">
        <v>1423</v>
      </c>
      <c r="D480" s="8">
        <v>294259</v>
      </c>
      <c r="E480" s="7" t="s">
        <v>227</v>
      </c>
      <c r="F480" s="7" t="s">
        <v>1424</v>
      </c>
      <c r="G480" s="7" t="s">
        <v>48</v>
      </c>
      <c r="H480" s="7" t="s">
        <v>27</v>
      </c>
      <c r="I480" s="7" t="s">
        <v>28</v>
      </c>
      <c r="J480" s="7" t="s">
        <v>40</v>
      </c>
      <c r="K480" s="7" t="s">
        <v>80</v>
      </c>
      <c r="L480" s="7" t="s">
        <v>42</v>
      </c>
      <c r="M480" s="7" t="s">
        <v>1425</v>
      </c>
      <c r="N480" s="9" t="s">
        <v>92</v>
      </c>
      <c r="O480" s="9" t="s">
        <v>33</v>
      </c>
      <c r="P480" s="9" t="s">
        <v>34</v>
      </c>
      <c r="Q480" s="10" t="str">
        <f>IF(IDMaster[[#This Row],[Consumption]]="Consumption",IDMaster[[#This Row],[Consumption]],IDMaster[[#This Row],[Basis]])</f>
        <v>Total Headcount</v>
      </c>
      <c r="R480" s="7" t="str">
        <f>IDMaster[[#This Row],[Supported Group]]&amp;"."&amp;IDMaster[[#This Row],[Basis]]</f>
        <v>IT Tools.Total Headcount</v>
      </c>
      <c r="S480" s="11">
        <v>0.69106036166058238</v>
      </c>
      <c r="T480" s="12">
        <v>0.14347567705238135</v>
      </c>
      <c r="U480" s="12">
        <v>0</v>
      </c>
      <c r="V480" s="12">
        <v>0</v>
      </c>
      <c r="W480" s="12">
        <v>0.16546396128703625</v>
      </c>
    </row>
    <row r="481" spans="1:23" x14ac:dyDescent="0.35">
      <c r="A481" s="7" t="s">
        <v>23</v>
      </c>
      <c r="B481" s="7" t="s">
        <v>1426</v>
      </c>
      <c r="C481" s="15" t="s">
        <v>329</v>
      </c>
      <c r="D481" s="8">
        <v>207712</v>
      </c>
      <c r="E481" s="7" t="s">
        <v>312</v>
      </c>
      <c r="F481" s="7" t="s">
        <v>1427</v>
      </c>
      <c r="G481" s="7" t="s">
        <v>48</v>
      </c>
      <c r="H481" s="7" t="s">
        <v>27</v>
      </c>
      <c r="I481" s="7" t="s">
        <v>28</v>
      </c>
      <c r="J481" s="7" t="s">
        <v>40</v>
      </c>
      <c r="K481" s="7" t="s">
        <v>80</v>
      </c>
      <c r="L481" s="7" t="s">
        <v>42</v>
      </c>
      <c r="M481" s="7" t="s">
        <v>43</v>
      </c>
      <c r="N481" s="9" t="s">
        <v>32</v>
      </c>
      <c r="O481" s="9" t="s">
        <v>67</v>
      </c>
      <c r="P481" s="9" t="s">
        <v>34</v>
      </c>
      <c r="Q481" s="10" t="str">
        <f>IF(IDMaster[[#This Row],[Consumption]]="Consumption",IDMaster[[#This Row],[Consumption]],IDMaster[[#This Row],[Basis]])</f>
        <v>Revenue</v>
      </c>
      <c r="R481" s="7" t="str">
        <f>IDMaster[[#This Row],[Supported Group]]&amp;"."&amp;IDMaster[[#This Row],[Basis]]</f>
        <v>IT Corporate.Revenue</v>
      </c>
      <c r="S481" s="11">
        <v>0.42185161428265983</v>
      </c>
      <c r="T481" s="12">
        <v>0.57814838571734017</v>
      </c>
      <c r="U481" s="12">
        <v>0</v>
      </c>
      <c r="V481" s="12">
        <v>0</v>
      </c>
      <c r="W481" s="12">
        <v>0</v>
      </c>
    </row>
    <row r="482" spans="1:23" x14ac:dyDescent="0.35">
      <c r="A482" s="7" t="s">
        <v>23</v>
      </c>
      <c r="B482" s="7" t="s">
        <v>1428</v>
      </c>
      <c r="C482" s="7" t="s">
        <v>1429</v>
      </c>
      <c r="D482" s="8">
        <v>283606</v>
      </c>
      <c r="E482" s="7" t="s">
        <v>156</v>
      </c>
      <c r="F482" s="7" t="s">
        <v>1430</v>
      </c>
      <c r="G482" s="7" t="s">
        <v>103</v>
      </c>
      <c r="H482" s="7" t="s">
        <v>27</v>
      </c>
      <c r="I482" s="7" t="s">
        <v>28</v>
      </c>
      <c r="J482" s="7" t="s">
        <v>40</v>
      </c>
      <c r="K482" s="7" t="s">
        <v>80</v>
      </c>
      <c r="L482" s="7" t="s">
        <v>42</v>
      </c>
      <c r="M482" s="7" t="s">
        <v>1431</v>
      </c>
      <c r="N482" s="9" t="s">
        <v>32</v>
      </c>
      <c r="O482" s="9" t="s">
        <v>81</v>
      </c>
      <c r="P482" s="9" t="s">
        <v>34</v>
      </c>
      <c r="Q482" s="10" t="str">
        <f>IF(IDMaster[[#This Row],[Consumption]]="Consumption",IDMaster[[#This Row],[Consumption]],IDMaster[[#This Row],[Basis]])</f>
        <v>Revenue</v>
      </c>
      <c r="R482" s="7" t="str">
        <f>IDMaster[[#This Row],[Supported Group]]&amp;"."&amp;IDMaster[[#This Row],[Basis]]</f>
        <v>Data.Revenue</v>
      </c>
      <c r="S482" s="11">
        <v>0.42185161428265983</v>
      </c>
      <c r="T482" s="12">
        <v>0.57814838571734017</v>
      </c>
      <c r="U482" s="12">
        <v>0</v>
      </c>
      <c r="V482" s="12">
        <v>0</v>
      </c>
      <c r="W482" s="12">
        <v>0</v>
      </c>
    </row>
    <row r="483" spans="1:23" x14ac:dyDescent="0.35">
      <c r="A483" s="7" t="s">
        <v>23</v>
      </c>
      <c r="B483" s="7" t="s">
        <v>1432</v>
      </c>
      <c r="C483" s="7" t="s">
        <v>598</v>
      </c>
      <c r="D483" s="8">
        <v>196781</v>
      </c>
      <c r="E483" s="7" t="s">
        <v>156</v>
      </c>
      <c r="F483" s="7" t="s">
        <v>1433</v>
      </c>
      <c r="G483" s="7" t="s">
        <v>103</v>
      </c>
      <c r="H483" s="7" t="s">
        <v>27</v>
      </c>
      <c r="I483" s="7" t="s">
        <v>28</v>
      </c>
      <c r="J483" s="7" t="s">
        <v>40</v>
      </c>
      <c r="K483" s="7" t="s">
        <v>80</v>
      </c>
      <c r="L483" s="7" t="s">
        <v>42</v>
      </c>
      <c r="M483" s="7" t="s">
        <v>43</v>
      </c>
      <c r="N483" s="9" t="s">
        <v>32</v>
      </c>
      <c r="O483" s="9" t="s">
        <v>33</v>
      </c>
      <c r="P483" s="9" t="s">
        <v>34</v>
      </c>
      <c r="Q483" s="10" t="str">
        <f>IF(IDMaster[[#This Row],[Consumption]]="Consumption",IDMaster[[#This Row],[Consumption]],IDMaster[[#This Row],[Basis]])</f>
        <v>Revenue</v>
      </c>
      <c r="R483" s="7" t="str">
        <f>IDMaster[[#This Row],[Supported Group]]&amp;"."&amp;IDMaster[[#This Row],[Basis]]</f>
        <v>IT Tools.Revenue</v>
      </c>
      <c r="S483" s="11">
        <v>0.42185161428265983</v>
      </c>
      <c r="T483" s="12">
        <v>0.57814838571734017</v>
      </c>
      <c r="U483" s="12">
        <v>0</v>
      </c>
      <c r="V483" s="12">
        <v>0</v>
      </c>
      <c r="W483" s="12">
        <v>0</v>
      </c>
    </row>
    <row r="484" spans="1:23" x14ac:dyDescent="0.35">
      <c r="A484" s="7" t="s">
        <v>23</v>
      </c>
      <c r="B484" s="7" t="s">
        <v>1434</v>
      </c>
      <c r="C484" s="7" t="s">
        <v>1435</v>
      </c>
      <c r="D484" s="8">
        <v>212785</v>
      </c>
      <c r="E484" s="7" t="s">
        <v>156</v>
      </c>
      <c r="F484" s="7" t="s">
        <v>1436</v>
      </c>
      <c r="G484" s="7" t="s">
        <v>103</v>
      </c>
      <c r="H484" s="7" t="s">
        <v>27</v>
      </c>
      <c r="I484" s="7" t="s">
        <v>28</v>
      </c>
      <c r="J484" s="7" t="s">
        <v>40</v>
      </c>
      <c r="K484" s="7" t="s">
        <v>80</v>
      </c>
      <c r="L484" s="7" t="s">
        <v>42</v>
      </c>
      <c r="M484" s="7" t="s">
        <v>1437</v>
      </c>
      <c r="N484" s="9" t="s">
        <v>32</v>
      </c>
      <c r="O484" s="9" t="s">
        <v>81</v>
      </c>
      <c r="P484" s="9" t="s">
        <v>34</v>
      </c>
      <c r="Q484" s="10" t="str">
        <f>IF(IDMaster[[#This Row],[Consumption]]="Consumption",IDMaster[[#This Row],[Consumption]],IDMaster[[#This Row],[Basis]])</f>
        <v>Revenue</v>
      </c>
      <c r="R484" s="7" t="str">
        <f>IDMaster[[#This Row],[Supported Group]]&amp;"."&amp;IDMaster[[#This Row],[Basis]]</f>
        <v>Data.Revenue</v>
      </c>
      <c r="S484" s="11">
        <v>0.42185161428265983</v>
      </c>
      <c r="T484" s="12">
        <v>0.57814838571734017</v>
      </c>
      <c r="U484" s="12">
        <v>0</v>
      </c>
      <c r="V484" s="12">
        <v>0</v>
      </c>
      <c r="W484" s="12">
        <v>0</v>
      </c>
    </row>
    <row r="485" spans="1:23" x14ac:dyDescent="0.35">
      <c r="A485" s="7" t="s">
        <v>23</v>
      </c>
      <c r="B485" s="7" t="s">
        <v>1438</v>
      </c>
      <c r="C485" s="15" t="s">
        <v>181</v>
      </c>
      <c r="D485" s="8">
        <v>260532</v>
      </c>
      <c r="E485" s="7" t="s">
        <v>559</v>
      </c>
      <c r="F485" s="7" t="s">
        <v>1439</v>
      </c>
      <c r="G485" s="7" t="s">
        <v>103</v>
      </c>
      <c r="H485" s="7" t="s">
        <v>27</v>
      </c>
      <c r="I485" s="7" t="s">
        <v>28</v>
      </c>
      <c r="J485" s="7" t="s">
        <v>40</v>
      </c>
      <c r="K485" s="7" t="s">
        <v>80</v>
      </c>
      <c r="L485" s="7" t="s">
        <v>42</v>
      </c>
      <c r="M485" s="7" t="s">
        <v>1440</v>
      </c>
      <c r="N485" s="9" t="s">
        <v>32</v>
      </c>
      <c r="O485" s="9" t="s">
        <v>81</v>
      </c>
      <c r="P485" s="9" t="s">
        <v>34</v>
      </c>
      <c r="Q485" s="10" t="str">
        <f>IF(IDMaster[[#This Row],[Consumption]]="Consumption",IDMaster[[#This Row],[Consumption]],IDMaster[[#This Row],[Basis]])</f>
        <v>Revenue</v>
      </c>
      <c r="R485" s="7" t="str">
        <f>IDMaster[[#This Row],[Supported Group]]&amp;"."&amp;IDMaster[[#This Row],[Basis]]</f>
        <v>Data.Revenue</v>
      </c>
      <c r="S485" s="11">
        <v>0.42185161428265983</v>
      </c>
      <c r="T485" s="12">
        <v>0.57814838571734017</v>
      </c>
      <c r="U485" s="12">
        <v>0</v>
      </c>
      <c r="V485" s="12">
        <v>0</v>
      </c>
      <c r="W485" s="12">
        <v>0</v>
      </c>
    </row>
    <row r="486" spans="1:23" x14ac:dyDescent="0.35">
      <c r="A486" s="7" t="s">
        <v>23</v>
      </c>
      <c r="B486" s="7" t="s">
        <v>1441</v>
      </c>
      <c r="C486" s="15" t="s">
        <v>181</v>
      </c>
      <c r="D486" s="8">
        <v>260532</v>
      </c>
      <c r="E486" s="7" t="s">
        <v>559</v>
      </c>
      <c r="F486" s="7" t="s">
        <v>1442</v>
      </c>
      <c r="G486" s="7" t="s">
        <v>103</v>
      </c>
      <c r="H486" s="7" t="s">
        <v>27</v>
      </c>
      <c r="I486" s="7" t="s">
        <v>28</v>
      </c>
      <c r="J486" s="7" t="s">
        <v>40</v>
      </c>
      <c r="K486" s="7" t="s">
        <v>80</v>
      </c>
      <c r="L486" s="7" t="s">
        <v>42</v>
      </c>
      <c r="M486" s="7" t="s">
        <v>1443</v>
      </c>
      <c r="N486" s="9" t="s">
        <v>32</v>
      </c>
      <c r="O486" s="9" t="s">
        <v>81</v>
      </c>
      <c r="P486" s="9" t="s">
        <v>34</v>
      </c>
      <c r="Q486" s="10" t="str">
        <f>IF(IDMaster[[#This Row],[Consumption]]="Consumption",IDMaster[[#This Row],[Consumption]],IDMaster[[#This Row],[Basis]])</f>
        <v>Revenue</v>
      </c>
      <c r="R486" s="7" t="str">
        <f>IDMaster[[#This Row],[Supported Group]]&amp;"."&amp;IDMaster[[#This Row],[Basis]]</f>
        <v>Data.Revenue</v>
      </c>
      <c r="S486" s="11">
        <v>0.42185161428265983</v>
      </c>
      <c r="T486" s="12">
        <v>0.57814838571734017</v>
      </c>
      <c r="U486" s="12">
        <v>0</v>
      </c>
      <c r="V486" s="12">
        <v>0</v>
      </c>
      <c r="W486" s="12">
        <v>0</v>
      </c>
    </row>
    <row r="487" spans="1:23" x14ac:dyDescent="0.35">
      <c r="A487" s="7" t="s">
        <v>23</v>
      </c>
      <c r="B487" s="7" t="s">
        <v>1444</v>
      </c>
      <c r="C487" s="15" t="s">
        <v>181</v>
      </c>
      <c r="D487" s="8">
        <v>260532</v>
      </c>
      <c r="E487" s="7" t="s">
        <v>559</v>
      </c>
      <c r="F487" s="7" t="s">
        <v>1445</v>
      </c>
      <c r="G487" s="7" t="s">
        <v>103</v>
      </c>
      <c r="H487" s="7" t="s">
        <v>27</v>
      </c>
      <c r="I487" s="7" t="s">
        <v>28</v>
      </c>
      <c r="J487" s="7" t="s">
        <v>40</v>
      </c>
      <c r="K487" s="7" t="s">
        <v>80</v>
      </c>
      <c r="L487" s="7" t="s">
        <v>42</v>
      </c>
      <c r="M487" s="7" t="s">
        <v>1446</v>
      </c>
      <c r="N487" s="9" t="s">
        <v>32</v>
      </c>
      <c r="O487" s="9" t="s">
        <v>81</v>
      </c>
      <c r="P487" s="9" t="s">
        <v>34</v>
      </c>
      <c r="Q487" s="10" t="str">
        <f>IF(IDMaster[[#This Row],[Consumption]]="Consumption",IDMaster[[#This Row],[Consumption]],IDMaster[[#This Row],[Basis]])</f>
        <v>Revenue</v>
      </c>
      <c r="R487" s="7" t="str">
        <f>IDMaster[[#This Row],[Supported Group]]&amp;"."&amp;IDMaster[[#This Row],[Basis]]</f>
        <v>Data.Revenue</v>
      </c>
      <c r="S487" s="11">
        <v>0.42185161428265983</v>
      </c>
      <c r="T487" s="12">
        <v>0.57814838571734017</v>
      </c>
      <c r="U487" s="12">
        <v>0</v>
      </c>
      <c r="V487" s="12">
        <v>0</v>
      </c>
      <c r="W487" s="12">
        <v>0</v>
      </c>
    </row>
    <row r="488" spans="1:23" x14ac:dyDescent="0.35">
      <c r="A488" s="7" t="s">
        <v>23</v>
      </c>
      <c r="B488" s="7" t="s">
        <v>1447</v>
      </c>
      <c r="C488" s="7" t="s">
        <v>1448</v>
      </c>
      <c r="D488" s="8">
        <v>369783</v>
      </c>
      <c r="E488" s="7" t="s">
        <v>53</v>
      </c>
      <c r="F488" s="7" t="s">
        <v>1449</v>
      </c>
      <c r="G488" s="7" t="s">
        <v>55</v>
      </c>
      <c r="H488" s="7" t="s">
        <v>27</v>
      </c>
      <c r="I488" s="7" t="s">
        <v>28</v>
      </c>
      <c r="J488" s="7" t="s">
        <v>137</v>
      </c>
      <c r="K488" s="7" t="s">
        <v>80</v>
      </c>
      <c r="L488" s="7" t="s">
        <v>42</v>
      </c>
      <c r="M488" s="7" t="s">
        <v>1450</v>
      </c>
      <c r="N488" s="9" t="s">
        <v>32</v>
      </c>
      <c r="O488" s="9" t="s">
        <v>195</v>
      </c>
      <c r="P488" s="9" t="s">
        <v>34</v>
      </c>
      <c r="Q488" s="10" t="str">
        <f>IF(IDMaster[[#This Row],[Consumption]]="Consumption",IDMaster[[#This Row],[Consumption]],IDMaster[[#This Row],[Basis]])</f>
        <v>Revenue</v>
      </c>
      <c r="R488" s="7" t="str">
        <f>IDMaster[[#This Row],[Supported Group]]&amp;"."&amp;IDMaster[[#This Row],[Basis]]</f>
        <v>External Labor.Revenue</v>
      </c>
      <c r="S488" s="11">
        <v>0.42185161428265983</v>
      </c>
      <c r="T488" s="12">
        <v>0.57814838571734017</v>
      </c>
      <c r="U488" s="12">
        <v>0</v>
      </c>
      <c r="V488" s="12">
        <v>0</v>
      </c>
      <c r="W488" s="12">
        <v>0</v>
      </c>
    </row>
    <row r="489" spans="1:23" x14ac:dyDescent="0.35">
      <c r="A489" s="7" t="s">
        <v>23</v>
      </c>
      <c r="B489" s="7" t="s">
        <v>1451</v>
      </c>
      <c r="C489" s="7" t="s">
        <v>1452</v>
      </c>
      <c r="D489" s="8">
        <v>141171</v>
      </c>
      <c r="E489" s="7" t="s">
        <v>53</v>
      </c>
      <c r="F489" s="7" t="s">
        <v>1449</v>
      </c>
      <c r="G489" s="7" t="s">
        <v>55</v>
      </c>
      <c r="H489" s="7" t="s">
        <v>27</v>
      </c>
      <c r="I489" s="7" t="s">
        <v>28</v>
      </c>
      <c r="J489" s="7" t="s">
        <v>137</v>
      </c>
      <c r="K489" s="7" t="s">
        <v>80</v>
      </c>
      <c r="L489" s="7" t="s">
        <v>42</v>
      </c>
      <c r="M489" s="7" t="s">
        <v>1453</v>
      </c>
      <c r="N489" s="9" t="s">
        <v>32</v>
      </c>
      <c r="O489" s="9" t="s">
        <v>195</v>
      </c>
      <c r="P489" s="9" t="s">
        <v>34</v>
      </c>
      <c r="Q489" s="10" t="str">
        <f>IF(IDMaster[[#This Row],[Consumption]]="Consumption",IDMaster[[#This Row],[Consumption]],IDMaster[[#This Row],[Basis]])</f>
        <v>Revenue</v>
      </c>
      <c r="R489" s="7" t="str">
        <f>IDMaster[[#This Row],[Supported Group]]&amp;"."&amp;IDMaster[[#This Row],[Basis]]</f>
        <v>External Labor.Revenue</v>
      </c>
      <c r="S489" s="11">
        <v>0.42185161428265983</v>
      </c>
      <c r="T489" s="12">
        <v>0.57814838571734017</v>
      </c>
      <c r="U489" s="12">
        <v>0</v>
      </c>
      <c r="V489" s="12">
        <v>0</v>
      </c>
      <c r="W489" s="12">
        <v>0</v>
      </c>
    </row>
    <row r="490" spans="1:23" x14ac:dyDescent="0.35">
      <c r="A490" s="7" t="s">
        <v>23</v>
      </c>
      <c r="B490" s="7" t="s">
        <v>1454</v>
      </c>
      <c r="C490" s="7" t="s">
        <v>1455</v>
      </c>
      <c r="D490" s="8">
        <v>350288</v>
      </c>
      <c r="E490" s="7" t="s">
        <v>70</v>
      </c>
      <c r="F490" s="7" t="s">
        <v>1456</v>
      </c>
      <c r="G490" s="7" t="s">
        <v>72</v>
      </c>
      <c r="H490" s="7" t="s">
        <v>27</v>
      </c>
      <c r="I490" s="7" t="s">
        <v>28</v>
      </c>
      <c r="J490" s="7" t="s">
        <v>40</v>
      </c>
      <c r="K490" s="7" t="s">
        <v>41</v>
      </c>
      <c r="L490" s="7" t="s">
        <v>42</v>
      </c>
      <c r="M490" s="7" t="s">
        <v>43</v>
      </c>
      <c r="N490" s="9" t="s">
        <v>32</v>
      </c>
      <c r="O490" s="9" t="s">
        <v>407</v>
      </c>
      <c r="P490" s="9" t="s">
        <v>34</v>
      </c>
      <c r="Q490" s="10" t="str">
        <f>IF(IDMaster[[#This Row],[Consumption]]="Consumption",IDMaster[[#This Row],[Consumption]],IDMaster[[#This Row],[Basis]])</f>
        <v>Revenue</v>
      </c>
      <c r="R490" s="7" t="str">
        <f>IDMaster[[#This Row],[Supported Group]]&amp;"."&amp;IDMaster[[#This Row],[Basis]]</f>
        <v>IT Dev Tools.Revenue</v>
      </c>
      <c r="S490" s="11">
        <v>0.42185161428265983</v>
      </c>
      <c r="T490" s="12">
        <v>0.57814838571734017</v>
      </c>
      <c r="U490" s="12">
        <v>0</v>
      </c>
      <c r="V490" s="12">
        <v>0</v>
      </c>
      <c r="W490" s="12">
        <v>0</v>
      </c>
    </row>
    <row r="491" spans="1:23" x14ac:dyDescent="0.35">
      <c r="A491" s="7" t="s">
        <v>23</v>
      </c>
      <c r="B491" s="7" t="s">
        <v>1457</v>
      </c>
      <c r="C491" s="7" t="s">
        <v>1458</v>
      </c>
      <c r="D491" s="8">
        <v>315590</v>
      </c>
      <c r="E491" s="7" t="s">
        <v>46</v>
      </c>
      <c r="F491" s="7" t="s">
        <v>1459</v>
      </c>
      <c r="G491" s="7" t="s">
        <v>48</v>
      </c>
      <c r="H491" s="7" t="s">
        <v>27</v>
      </c>
      <c r="I491" s="7" t="s">
        <v>28</v>
      </c>
      <c r="J491" s="7" t="s">
        <v>137</v>
      </c>
      <c r="K491" s="7" t="s">
        <v>29</v>
      </c>
      <c r="L491" s="7" t="s">
        <v>30</v>
      </c>
      <c r="M491" s="7" t="s">
        <v>1460</v>
      </c>
      <c r="N491" s="9" t="s">
        <v>32</v>
      </c>
      <c r="O491" s="9" t="s">
        <v>195</v>
      </c>
      <c r="P491" s="9" t="s">
        <v>34</v>
      </c>
      <c r="Q491" s="10" t="str">
        <f>IF(IDMaster[[#This Row],[Consumption]]="Consumption",IDMaster[[#This Row],[Consumption]],IDMaster[[#This Row],[Basis]])</f>
        <v>Revenue</v>
      </c>
      <c r="R491" s="7" t="str">
        <f>IDMaster[[#This Row],[Supported Group]]&amp;"."&amp;IDMaster[[#This Row],[Basis]]</f>
        <v>External Labor.Revenue</v>
      </c>
      <c r="S491" s="11">
        <v>0.42185161428265983</v>
      </c>
      <c r="T491" s="12">
        <v>0.57814838571734017</v>
      </c>
      <c r="U491" s="12">
        <v>0</v>
      </c>
      <c r="V491" s="12">
        <v>0</v>
      </c>
      <c r="W491" s="12">
        <v>0</v>
      </c>
    </row>
    <row r="492" spans="1:23" x14ac:dyDescent="0.35">
      <c r="A492" s="7" t="s">
        <v>23</v>
      </c>
      <c r="B492" s="7" t="s">
        <v>1461</v>
      </c>
      <c r="C492" s="7" t="s">
        <v>329</v>
      </c>
      <c r="D492" s="8">
        <v>207712</v>
      </c>
      <c r="E492" s="7" t="s">
        <v>584</v>
      </c>
      <c r="F492" s="7" t="s">
        <v>1462</v>
      </c>
      <c r="G492" s="7" t="s">
        <v>48</v>
      </c>
      <c r="H492" s="7" t="s">
        <v>27</v>
      </c>
      <c r="I492" s="7" t="s">
        <v>28</v>
      </c>
      <c r="J492" s="7" t="s">
        <v>40</v>
      </c>
      <c r="K492" s="7" t="s">
        <v>1463</v>
      </c>
      <c r="L492" s="7" t="s">
        <v>627</v>
      </c>
      <c r="M492" s="7" t="s">
        <v>43</v>
      </c>
      <c r="N492" s="9" t="s">
        <v>32</v>
      </c>
      <c r="O492" s="9" t="s">
        <v>67</v>
      </c>
      <c r="P492" s="9" t="s">
        <v>34</v>
      </c>
      <c r="Q492" s="10" t="str">
        <f>IF(IDMaster[[#This Row],[Consumption]]="Consumption",IDMaster[[#This Row],[Consumption]],IDMaster[[#This Row],[Basis]])</f>
        <v>Revenue</v>
      </c>
      <c r="R492" s="7" t="str">
        <f>IDMaster[[#This Row],[Supported Group]]&amp;"."&amp;IDMaster[[#This Row],[Basis]]</f>
        <v>IT Corporate.Revenue</v>
      </c>
      <c r="S492" s="11">
        <v>0.42185161428265983</v>
      </c>
      <c r="T492" s="12">
        <v>0.57814838571734017</v>
      </c>
      <c r="U492" s="12">
        <v>0</v>
      </c>
      <c r="V492" s="12">
        <v>0</v>
      </c>
      <c r="W492" s="12">
        <v>0</v>
      </c>
    </row>
    <row r="493" spans="1:23" x14ac:dyDescent="0.35">
      <c r="A493" s="7" t="s">
        <v>23</v>
      </c>
      <c r="B493" s="7" t="s">
        <v>1464</v>
      </c>
      <c r="C493" s="7" t="s">
        <v>1465</v>
      </c>
      <c r="D493" s="8">
        <v>196657</v>
      </c>
      <c r="E493" s="7" t="s">
        <v>312</v>
      </c>
      <c r="F493" s="7" t="s">
        <v>1466</v>
      </c>
      <c r="G493" s="7" t="s">
        <v>48</v>
      </c>
      <c r="H493" s="7" t="s">
        <v>27</v>
      </c>
      <c r="I493" s="7" t="s">
        <v>28</v>
      </c>
      <c r="J493" s="7" t="s">
        <v>625</v>
      </c>
      <c r="K493" s="7" t="s">
        <v>1467</v>
      </c>
      <c r="L493" s="7" t="s">
        <v>631</v>
      </c>
      <c r="M493" s="7" t="s">
        <v>1466</v>
      </c>
      <c r="N493" s="9" t="s">
        <v>92</v>
      </c>
      <c r="O493" s="9" t="s">
        <v>51</v>
      </c>
      <c r="P493" s="9" t="s">
        <v>34</v>
      </c>
      <c r="Q493" s="10" t="str">
        <f>IF(IDMaster[[#This Row],[Consumption]]="Consumption",IDMaster[[#This Row],[Consumption]],IDMaster[[#This Row],[Basis]])</f>
        <v>Total Headcount</v>
      </c>
      <c r="R493" s="7" t="str">
        <f>IDMaster[[#This Row],[Supported Group]]&amp;"."&amp;IDMaster[[#This Row],[Basis]]</f>
        <v>IT Infrastructure.Total Headcount</v>
      </c>
      <c r="S493" s="11">
        <v>0.69106036166058238</v>
      </c>
      <c r="T493" s="12">
        <v>0.14347567705238135</v>
      </c>
      <c r="U493" s="12">
        <v>0</v>
      </c>
      <c r="V493" s="12">
        <v>0</v>
      </c>
      <c r="W493" s="12">
        <v>0.16546396128703625</v>
      </c>
    </row>
    <row r="494" spans="1:23" x14ac:dyDescent="0.35">
      <c r="A494" s="7" t="s">
        <v>23</v>
      </c>
      <c r="B494" s="7" t="s">
        <v>1468</v>
      </c>
      <c r="C494" s="7" t="s">
        <v>329</v>
      </c>
      <c r="D494" s="8">
        <v>207712</v>
      </c>
      <c r="E494" s="7" t="s">
        <v>46</v>
      </c>
      <c r="F494" s="7" t="s">
        <v>1469</v>
      </c>
      <c r="G494" s="7" t="s">
        <v>48</v>
      </c>
      <c r="H494" s="7" t="s">
        <v>27</v>
      </c>
      <c r="I494" s="7" t="s">
        <v>28</v>
      </c>
      <c r="J494" s="7" t="s">
        <v>267</v>
      </c>
      <c r="K494" s="7" t="s">
        <v>978</v>
      </c>
      <c r="L494" s="7" t="s">
        <v>631</v>
      </c>
      <c r="M494" s="7" t="s">
        <v>1470</v>
      </c>
      <c r="N494" s="9" t="s">
        <v>92</v>
      </c>
      <c r="O494" s="9" t="s">
        <v>51</v>
      </c>
      <c r="P494" s="9" t="s">
        <v>34</v>
      </c>
      <c r="Q494" s="10" t="str">
        <f>IF(IDMaster[[#This Row],[Consumption]]="Consumption",IDMaster[[#This Row],[Consumption]],IDMaster[[#This Row],[Basis]])</f>
        <v>Total Headcount</v>
      </c>
      <c r="R494" s="7" t="str">
        <f>IDMaster[[#This Row],[Supported Group]]&amp;"."&amp;IDMaster[[#This Row],[Basis]]</f>
        <v>IT Infrastructure.Total Headcount</v>
      </c>
      <c r="S494" s="11">
        <v>0.69106036166058238</v>
      </c>
      <c r="T494" s="12">
        <v>0.14347567705238135</v>
      </c>
      <c r="U494" s="12">
        <v>0</v>
      </c>
      <c r="V494" s="12">
        <v>0</v>
      </c>
      <c r="W494" s="12">
        <v>0.16546396128703625</v>
      </c>
    </row>
    <row r="495" spans="1:23" x14ac:dyDescent="0.35">
      <c r="A495" s="7" t="s">
        <v>23</v>
      </c>
      <c r="B495" s="7" t="s">
        <v>1471</v>
      </c>
      <c r="C495" s="7" t="s">
        <v>1472</v>
      </c>
      <c r="D495" s="8">
        <v>306770</v>
      </c>
      <c r="E495" s="7" t="s">
        <v>46</v>
      </c>
      <c r="F495" s="7" t="s">
        <v>1472</v>
      </c>
      <c r="G495" s="7" t="s">
        <v>48</v>
      </c>
      <c r="H495" s="7" t="s">
        <v>27</v>
      </c>
      <c r="I495" s="7" t="s">
        <v>28</v>
      </c>
      <c r="J495" s="7" t="s">
        <v>40</v>
      </c>
      <c r="K495" s="7" t="s">
        <v>41</v>
      </c>
      <c r="L495" s="7" t="s">
        <v>42</v>
      </c>
      <c r="M495" s="7" t="s">
        <v>1473</v>
      </c>
      <c r="N495" s="9" t="s">
        <v>32</v>
      </c>
      <c r="O495" s="9" t="s">
        <v>33</v>
      </c>
      <c r="P495" s="9" t="s">
        <v>34</v>
      </c>
      <c r="Q495" s="10" t="str">
        <f>IF(IDMaster[[#This Row],[Consumption]]="Consumption",IDMaster[[#This Row],[Consumption]],IDMaster[[#This Row],[Basis]])</f>
        <v>Revenue</v>
      </c>
      <c r="R495" s="7" t="str">
        <f>IDMaster[[#This Row],[Supported Group]]&amp;"."&amp;IDMaster[[#This Row],[Basis]]</f>
        <v>IT Tools.Revenue</v>
      </c>
      <c r="S495" s="11">
        <v>0.42185161428265983</v>
      </c>
      <c r="T495" s="12">
        <v>0.57814838571734017</v>
      </c>
      <c r="U495" s="12">
        <v>0</v>
      </c>
      <c r="V495" s="12">
        <v>0</v>
      </c>
      <c r="W495" s="12">
        <v>0</v>
      </c>
    </row>
    <row r="496" spans="1:23" x14ac:dyDescent="0.35">
      <c r="A496" s="7" t="s">
        <v>23</v>
      </c>
      <c r="B496" s="7" t="s">
        <v>1474</v>
      </c>
      <c r="C496" s="7" t="s">
        <v>1475</v>
      </c>
      <c r="D496" s="8">
        <v>276745</v>
      </c>
      <c r="E496" s="7" t="s">
        <v>46</v>
      </c>
      <c r="F496" s="7" t="s">
        <v>1475</v>
      </c>
      <c r="G496" s="7" t="s">
        <v>48</v>
      </c>
      <c r="H496" s="7" t="s">
        <v>27</v>
      </c>
      <c r="I496" s="7" t="s">
        <v>28</v>
      </c>
      <c r="J496" s="7" t="s">
        <v>267</v>
      </c>
      <c r="K496" s="7" t="s">
        <v>29</v>
      </c>
      <c r="L496" s="7" t="s">
        <v>30</v>
      </c>
      <c r="M496" s="7" t="s">
        <v>43</v>
      </c>
      <c r="N496" s="9" t="s">
        <v>32</v>
      </c>
      <c r="O496" s="9" t="s">
        <v>538</v>
      </c>
      <c r="P496" s="9" t="s">
        <v>34</v>
      </c>
      <c r="Q496" s="10" t="str">
        <f>IF(IDMaster[[#This Row],[Consumption]]="Consumption",IDMaster[[#This Row],[Consumption]],IDMaster[[#This Row],[Basis]])</f>
        <v>Revenue</v>
      </c>
      <c r="R496" s="7" t="str">
        <f>IDMaster[[#This Row],[Supported Group]]&amp;"."&amp;IDMaster[[#This Row],[Basis]]</f>
        <v>RAC.Revenue</v>
      </c>
      <c r="S496" s="11">
        <v>0.42185161428265983</v>
      </c>
      <c r="T496" s="12">
        <v>0.57814838571734017</v>
      </c>
      <c r="U496" s="12">
        <v>0</v>
      </c>
      <c r="V496" s="12">
        <v>0</v>
      </c>
      <c r="W496" s="12">
        <v>0</v>
      </c>
    </row>
    <row r="497" spans="1:23" x14ac:dyDescent="0.35">
      <c r="A497" s="7" t="s">
        <v>23</v>
      </c>
      <c r="B497" s="7" t="s">
        <v>1476</v>
      </c>
      <c r="C497" s="7" t="s">
        <v>1477</v>
      </c>
      <c r="D497" s="8">
        <v>281553</v>
      </c>
      <c r="E497" s="7" t="s">
        <v>95</v>
      </c>
      <c r="F497" s="7" t="s">
        <v>1478</v>
      </c>
      <c r="G497" s="7" t="s">
        <v>97</v>
      </c>
      <c r="H497" s="7" t="s">
        <v>27</v>
      </c>
      <c r="I497" s="7" t="s">
        <v>28</v>
      </c>
      <c r="J497" s="7" t="s">
        <v>137</v>
      </c>
      <c r="K497" s="7" t="s">
        <v>29</v>
      </c>
      <c r="L497" s="7" t="s">
        <v>30</v>
      </c>
      <c r="M497" s="7" t="s">
        <v>1479</v>
      </c>
      <c r="N497" s="9" t="s">
        <v>32</v>
      </c>
      <c r="O497" s="9" t="s">
        <v>99</v>
      </c>
      <c r="P497" s="9" t="s">
        <v>34</v>
      </c>
      <c r="Q497" s="10" t="str">
        <f>IF(IDMaster[[#This Row],[Consumption]]="Consumption",IDMaster[[#This Row],[Consumption]],IDMaster[[#This Row],[Basis]])</f>
        <v>Revenue</v>
      </c>
      <c r="R497" s="7" t="str">
        <f>IDMaster[[#This Row],[Supported Group]]&amp;"."&amp;IDMaster[[#This Row],[Basis]]</f>
        <v>Security.Revenue</v>
      </c>
      <c r="S497" s="11">
        <v>0.42185161428265983</v>
      </c>
      <c r="T497" s="12">
        <v>0.57814838571734017</v>
      </c>
      <c r="U497" s="12">
        <v>0</v>
      </c>
      <c r="V497" s="12">
        <v>0</v>
      </c>
      <c r="W497" s="12">
        <v>0</v>
      </c>
    </row>
    <row r="498" spans="1:23" x14ac:dyDescent="0.35">
      <c r="A498" s="7" t="s">
        <v>23</v>
      </c>
      <c r="B498" s="7" t="s">
        <v>1480</v>
      </c>
      <c r="C498" s="7" t="s">
        <v>393</v>
      </c>
      <c r="D498" s="8">
        <v>288645</v>
      </c>
      <c r="E498" s="7" t="s">
        <v>95</v>
      </c>
      <c r="F498" s="7" t="s">
        <v>1481</v>
      </c>
      <c r="G498" s="7" t="s">
        <v>97</v>
      </c>
      <c r="H498" s="7" t="s">
        <v>27</v>
      </c>
      <c r="I498" s="7" t="s">
        <v>28</v>
      </c>
      <c r="J498" s="7" t="s">
        <v>137</v>
      </c>
      <c r="K498" s="7" t="s">
        <v>63</v>
      </c>
      <c r="L498" s="7" t="s">
        <v>30</v>
      </c>
      <c r="M498" s="7" t="s">
        <v>1482</v>
      </c>
      <c r="N498" s="9" t="s">
        <v>32</v>
      </c>
      <c r="O498" s="9" t="s">
        <v>99</v>
      </c>
      <c r="P498" s="9" t="s">
        <v>34</v>
      </c>
      <c r="Q498" s="10" t="str">
        <f>IF(IDMaster[[#This Row],[Consumption]]="Consumption",IDMaster[[#This Row],[Consumption]],IDMaster[[#This Row],[Basis]])</f>
        <v>Revenue</v>
      </c>
      <c r="R498" s="7" t="str">
        <f>IDMaster[[#This Row],[Supported Group]]&amp;"."&amp;IDMaster[[#This Row],[Basis]]</f>
        <v>Security.Revenue</v>
      </c>
      <c r="S498" s="11">
        <v>0.42185161428265983</v>
      </c>
      <c r="T498" s="12">
        <v>0.57814838571734017</v>
      </c>
      <c r="U498" s="12">
        <v>0</v>
      </c>
      <c r="V498" s="12">
        <v>0</v>
      </c>
      <c r="W498" s="12">
        <v>0</v>
      </c>
    </row>
    <row r="499" spans="1:23" x14ac:dyDescent="0.35">
      <c r="A499" s="7" t="s">
        <v>23</v>
      </c>
      <c r="B499" s="7" t="s">
        <v>1483</v>
      </c>
      <c r="C499" s="7" t="s">
        <v>290</v>
      </c>
      <c r="D499" s="8">
        <v>317598</v>
      </c>
      <c r="E499" s="7" t="s">
        <v>95</v>
      </c>
      <c r="F499" s="7" t="s">
        <v>1484</v>
      </c>
      <c r="G499" s="7" t="s">
        <v>97</v>
      </c>
      <c r="H499" s="7" t="s">
        <v>27</v>
      </c>
      <c r="I499" s="7" t="s">
        <v>28</v>
      </c>
      <c r="J499" s="7" t="s">
        <v>62</v>
      </c>
      <c r="K499" s="7" t="s">
        <v>63</v>
      </c>
      <c r="L499" s="7" t="s">
        <v>30</v>
      </c>
      <c r="M499" s="7" t="s">
        <v>1485</v>
      </c>
      <c r="N499" s="9" t="s">
        <v>32</v>
      </c>
      <c r="O499" s="9" t="s">
        <v>99</v>
      </c>
      <c r="P499" s="9" t="s">
        <v>34</v>
      </c>
      <c r="Q499" s="10" t="str">
        <f>IF(IDMaster[[#This Row],[Consumption]]="Consumption",IDMaster[[#This Row],[Consumption]],IDMaster[[#This Row],[Basis]])</f>
        <v>Revenue</v>
      </c>
      <c r="R499" s="7" t="str">
        <f>IDMaster[[#This Row],[Supported Group]]&amp;"."&amp;IDMaster[[#This Row],[Basis]]</f>
        <v>Security.Revenue</v>
      </c>
      <c r="S499" s="11">
        <v>0.42185161428265983</v>
      </c>
      <c r="T499" s="12">
        <v>0.57814838571734017</v>
      </c>
      <c r="U499" s="12">
        <v>0</v>
      </c>
      <c r="V499" s="12">
        <v>0</v>
      </c>
      <c r="W499" s="12">
        <v>0</v>
      </c>
    </row>
    <row r="500" spans="1:23" x14ac:dyDescent="0.35">
      <c r="A500" s="7" t="s">
        <v>23</v>
      </c>
      <c r="B500" s="7" t="s">
        <v>1486</v>
      </c>
      <c r="C500" s="7" t="s">
        <v>393</v>
      </c>
      <c r="D500" s="8">
        <v>288645</v>
      </c>
      <c r="E500" s="7" t="s">
        <v>95</v>
      </c>
      <c r="F500" s="7" t="s">
        <v>1487</v>
      </c>
      <c r="G500" s="7" t="s">
        <v>97</v>
      </c>
      <c r="H500" s="7" t="s">
        <v>27</v>
      </c>
      <c r="I500" s="7" t="s">
        <v>28</v>
      </c>
      <c r="J500" s="7" t="s">
        <v>137</v>
      </c>
      <c r="K500" s="7" t="s">
        <v>63</v>
      </c>
      <c r="L500" s="7" t="s">
        <v>30</v>
      </c>
      <c r="M500" s="7" t="s">
        <v>43</v>
      </c>
      <c r="N500" s="9" t="s">
        <v>32</v>
      </c>
      <c r="O500" s="9" t="s">
        <v>99</v>
      </c>
      <c r="P500" s="9" t="s">
        <v>34</v>
      </c>
      <c r="Q500" s="10" t="str">
        <f>IF(IDMaster[[#This Row],[Consumption]]="Consumption",IDMaster[[#This Row],[Consumption]],IDMaster[[#This Row],[Basis]])</f>
        <v>Revenue</v>
      </c>
      <c r="R500" s="7" t="str">
        <f>IDMaster[[#This Row],[Supported Group]]&amp;"."&amp;IDMaster[[#This Row],[Basis]]</f>
        <v>Security.Revenue</v>
      </c>
      <c r="S500" s="11">
        <v>0.42185161428265983</v>
      </c>
      <c r="T500" s="12">
        <v>0.57814838571734017</v>
      </c>
      <c r="U500" s="12">
        <v>0</v>
      </c>
      <c r="V500" s="12">
        <v>0</v>
      </c>
      <c r="W500" s="12">
        <v>0</v>
      </c>
    </row>
    <row r="501" spans="1:23" x14ac:dyDescent="0.35">
      <c r="A501" s="7" t="s">
        <v>23</v>
      </c>
      <c r="B501" s="7" t="s">
        <v>1488</v>
      </c>
      <c r="C501" s="7" t="s">
        <v>515</v>
      </c>
      <c r="D501" s="8">
        <v>369050</v>
      </c>
      <c r="E501" s="7" t="s">
        <v>95</v>
      </c>
      <c r="F501" s="7" t="s">
        <v>1489</v>
      </c>
      <c r="G501" s="7" t="s">
        <v>97</v>
      </c>
      <c r="H501" s="7" t="s">
        <v>27</v>
      </c>
      <c r="I501" s="7" t="s">
        <v>28</v>
      </c>
      <c r="J501" s="7" t="s">
        <v>137</v>
      </c>
      <c r="K501" s="7" t="s">
        <v>29</v>
      </c>
      <c r="L501" s="7" t="s">
        <v>30</v>
      </c>
      <c r="M501" s="7" t="s">
        <v>1490</v>
      </c>
      <c r="N501" s="9" t="s">
        <v>32</v>
      </c>
      <c r="O501" s="9" t="s">
        <v>99</v>
      </c>
      <c r="P501" s="9" t="s">
        <v>34</v>
      </c>
      <c r="Q501" s="10" t="str">
        <f>IF(IDMaster[[#This Row],[Consumption]]="Consumption",IDMaster[[#This Row],[Consumption]],IDMaster[[#This Row],[Basis]])</f>
        <v>Revenue</v>
      </c>
      <c r="R501" s="7" t="str">
        <f>IDMaster[[#This Row],[Supported Group]]&amp;"."&amp;IDMaster[[#This Row],[Basis]]</f>
        <v>Security.Revenue</v>
      </c>
      <c r="S501" s="11">
        <v>0.42185161428265983</v>
      </c>
      <c r="T501" s="12">
        <v>0.57814838571734017</v>
      </c>
      <c r="U501" s="12">
        <v>0</v>
      </c>
      <c r="V501" s="12">
        <v>0</v>
      </c>
      <c r="W501" s="12">
        <v>0</v>
      </c>
    </row>
    <row r="502" spans="1:23" x14ac:dyDescent="0.35">
      <c r="A502" s="7" t="s">
        <v>23</v>
      </c>
      <c r="B502" s="7" t="s">
        <v>1491</v>
      </c>
      <c r="C502" s="7" t="s">
        <v>232</v>
      </c>
      <c r="D502" s="8">
        <v>100410</v>
      </c>
      <c r="E502" s="7" t="s">
        <v>95</v>
      </c>
      <c r="F502" s="7" t="s">
        <v>1492</v>
      </c>
      <c r="G502" s="7" t="s">
        <v>97</v>
      </c>
      <c r="H502" s="7" t="s">
        <v>27</v>
      </c>
      <c r="I502" s="7" t="s">
        <v>28</v>
      </c>
      <c r="J502" s="7" t="s">
        <v>137</v>
      </c>
      <c r="K502" s="7" t="s">
        <v>29</v>
      </c>
      <c r="L502" s="7" t="s">
        <v>30</v>
      </c>
      <c r="M502" s="7" t="s">
        <v>1493</v>
      </c>
      <c r="N502" s="9" t="s">
        <v>32</v>
      </c>
      <c r="O502" s="9" t="s">
        <v>99</v>
      </c>
      <c r="P502" s="9" t="s">
        <v>34</v>
      </c>
      <c r="Q502" s="10" t="str">
        <f>IF(IDMaster[[#This Row],[Consumption]]="Consumption",IDMaster[[#This Row],[Consumption]],IDMaster[[#This Row],[Basis]])</f>
        <v>Revenue</v>
      </c>
      <c r="R502" s="7" t="str">
        <f>IDMaster[[#This Row],[Supported Group]]&amp;"."&amp;IDMaster[[#This Row],[Basis]]</f>
        <v>Security.Revenue</v>
      </c>
      <c r="S502" s="11">
        <v>0.42185161428265983</v>
      </c>
      <c r="T502" s="12">
        <v>0.57814838571734017</v>
      </c>
      <c r="U502" s="12">
        <v>0</v>
      </c>
      <c r="V502" s="12">
        <v>0</v>
      </c>
      <c r="W502" s="12">
        <v>0</v>
      </c>
    </row>
    <row r="503" spans="1:23" x14ac:dyDescent="0.35">
      <c r="A503" s="7" t="s">
        <v>23</v>
      </c>
      <c r="B503" s="7" t="s">
        <v>1494</v>
      </c>
      <c r="C503" s="7" t="s">
        <v>232</v>
      </c>
      <c r="D503" s="8">
        <v>100410</v>
      </c>
      <c r="E503" s="7" t="s">
        <v>95</v>
      </c>
      <c r="F503" s="7" t="s">
        <v>1495</v>
      </c>
      <c r="G503" s="7" t="s">
        <v>97</v>
      </c>
      <c r="H503" s="7" t="s">
        <v>27</v>
      </c>
      <c r="I503" s="7" t="s">
        <v>28</v>
      </c>
      <c r="J503" s="7" t="s">
        <v>137</v>
      </c>
      <c r="K503" s="7" t="s">
        <v>29</v>
      </c>
      <c r="L503" s="7" t="s">
        <v>30</v>
      </c>
      <c r="M503" s="7" t="s">
        <v>1495</v>
      </c>
      <c r="N503" s="9" t="s">
        <v>32</v>
      </c>
      <c r="O503" s="9" t="s">
        <v>99</v>
      </c>
      <c r="P503" s="9" t="s">
        <v>34</v>
      </c>
      <c r="Q503" s="10" t="str">
        <f>IF(IDMaster[[#This Row],[Consumption]]="Consumption",IDMaster[[#This Row],[Consumption]],IDMaster[[#This Row],[Basis]])</f>
        <v>Revenue</v>
      </c>
      <c r="R503" s="7" t="str">
        <f>IDMaster[[#This Row],[Supported Group]]&amp;"."&amp;IDMaster[[#This Row],[Basis]]</f>
        <v>Security.Revenue</v>
      </c>
      <c r="S503" s="11">
        <v>0.42185161428265983</v>
      </c>
      <c r="T503" s="12">
        <v>0.57814838571734017</v>
      </c>
      <c r="U503" s="12">
        <v>0</v>
      </c>
      <c r="V503" s="12">
        <v>0</v>
      </c>
      <c r="W503" s="12">
        <v>0</v>
      </c>
    </row>
    <row r="504" spans="1:23" x14ac:dyDescent="0.35">
      <c r="A504" s="7" t="s">
        <v>23</v>
      </c>
      <c r="B504" s="7" t="s">
        <v>1496</v>
      </c>
      <c r="C504" s="7" t="s">
        <v>377</v>
      </c>
      <c r="D504" s="8">
        <v>320074</v>
      </c>
      <c r="E504" s="7" t="s">
        <v>95</v>
      </c>
      <c r="F504" s="7" t="s">
        <v>1497</v>
      </c>
      <c r="G504" s="7" t="s">
        <v>97</v>
      </c>
      <c r="H504" s="7" t="s">
        <v>27</v>
      </c>
      <c r="I504" s="7" t="s">
        <v>28</v>
      </c>
      <c r="J504" s="7" t="s">
        <v>40</v>
      </c>
      <c r="K504" s="7" t="s">
        <v>29</v>
      </c>
      <c r="L504" s="7" t="s">
        <v>30</v>
      </c>
      <c r="M504" s="7" t="s">
        <v>1498</v>
      </c>
      <c r="N504" s="9" t="s">
        <v>32</v>
      </c>
      <c r="O504" s="9" t="s">
        <v>99</v>
      </c>
      <c r="P504" s="9" t="s">
        <v>34</v>
      </c>
      <c r="Q504" s="10" t="str">
        <f>IF(IDMaster[[#This Row],[Consumption]]="Consumption",IDMaster[[#This Row],[Consumption]],IDMaster[[#This Row],[Basis]])</f>
        <v>Revenue</v>
      </c>
      <c r="R504" s="7" t="str">
        <f>IDMaster[[#This Row],[Supported Group]]&amp;"."&amp;IDMaster[[#This Row],[Basis]]</f>
        <v>Security.Revenue</v>
      </c>
      <c r="S504" s="11">
        <v>0.42185161428265983</v>
      </c>
      <c r="T504" s="12">
        <v>0.57814838571734017</v>
      </c>
      <c r="U504" s="12">
        <v>0</v>
      </c>
      <c r="V504" s="12">
        <v>0</v>
      </c>
      <c r="W504" s="12">
        <v>0</v>
      </c>
    </row>
    <row r="505" spans="1:23" x14ac:dyDescent="0.35">
      <c r="A505" s="7" t="s">
        <v>23</v>
      </c>
      <c r="B505" s="7" t="s">
        <v>1499</v>
      </c>
      <c r="C505" s="7" t="s">
        <v>232</v>
      </c>
      <c r="D505" s="8">
        <v>100410</v>
      </c>
      <c r="E505" s="7" t="s">
        <v>95</v>
      </c>
      <c r="F505" s="7" t="s">
        <v>1500</v>
      </c>
      <c r="G505" s="7" t="s">
        <v>97</v>
      </c>
      <c r="H505" s="7" t="s">
        <v>27</v>
      </c>
      <c r="I505" s="7" t="s">
        <v>28</v>
      </c>
      <c r="J505" s="7" t="s">
        <v>137</v>
      </c>
      <c r="K505" s="7" t="s">
        <v>29</v>
      </c>
      <c r="L505" s="7" t="s">
        <v>30</v>
      </c>
      <c r="M505" s="7" t="s">
        <v>1495</v>
      </c>
      <c r="N505" s="9" t="s">
        <v>32</v>
      </c>
      <c r="O505" s="9" t="s">
        <v>99</v>
      </c>
      <c r="P505" s="9" t="s">
        <v>34</v>
      </c>
      <c r="Q505" s="10" t="str">
        <f>IF(IDMaster[[#This Row],[Consumption]]="Consumption",IDMaster[[#This Row],[Consumption]],IDMaster[[#This Row],[Basis]])</f>
        <v>Revenue</v>
      </c>
      <c r="R505" s="7" t="str">
        <f>IDMaster[[#This Row],[Supported Group]]&amp;"."&amp;IDMaster[[#This Row],[Basis]]</f>
        <v>Security.Revenue</v>
      </c>
      <c r="S505" s="11">
        <v>0.42185161428265983</v>
      </c>
      <c r="T505" s="12">
        <v>0.57814838571734017</v>
      </c>
      <c r="U505" s="12">
        <v>0</v>
      </c>
      <c r="V505" s="12">
        <v>0</v>
      </c>
      <c r="W505" s="12">
        <v>0</v>
      </c>
    </row>
    <row r="506" spans="1:23" x14ac:dyDescent="0.35">
      <c r="A506" s="7" t="s">
        <v>23</v>
      </c>
      <c r="B506" s="7" t="s">
        <v>1501</v>
      </c>
      <c r="C506" s="7" t="s">
        <v>598</v>
      </c>
      <c r="D506" s="8">
        <v>196781</v>
      </c>
      <c r="E506" s="7" t="s">
        <v>584</v>
      </c>
      <c r="F506" s="7" t="s">
        <v>1133</v>
      </c>
      <c r="G506" s="7" t="s">
        <v>48</v>
      </c>
      <c r="H506" s="7" t="s">
        <v>27</v>
      </c>
      <c r="I506" s="7" t="s">
        <v>28</v>
      </c>
      <c r="J506" s="7" t="s">
        <v>625</v>
      </c>
      <c r="K506" s="7" t="s">
        <v>626</v>
      </c>
      <c r="L506" s="7" t="s">
        <v>627</v>
      </c>
      <c r="M506" s="7" t="s">
        <v>43</v>
      </c>
      <c r="N506" s="9" t="s">
        <v>32</v>
      </c>
      <c r="O506" s="9" t="s">
        <v>67</v>
      </c>
      <c r="P506" s="9" t="s">
        <v>34</v>
      </c>
      <c r="Q506" s="10" t="str">
        <f>IF(IDMaster[[#This Row],[Consumption]]="Consumption",IDMaster[[#This Row],[Consumption]],IDMaster[[#This Row],[Basis]])</f>
        <v>Revenue</v>
      </c>
      <c r="R506" s="7" t="str">
        <f>IDMaster[[#This Row],[Supported Group]]&amp;"."&amp;IDMaster[[#This Row],[Basis]]</f>
        <v>IT Corporate.Revenue</v>
      </c>
      <c r="S506" s="11">
        <v>0.42185161428265983</v>
      </c>
      <c r="T506" s="12">
        <v>0.57814838571734017</v>
      </c>
      <c r="U506" s="12">
        <v>0</v>
      </c>
      <c r="V506" s="12">
        <v>0</v>
      </c>
      <c r="W506" s="12">
        <v>0</v>
      </c>
    </row>
    <row r="507" spans="1:23" x14ac:dyDescent="0.35">
      <c r="A507" s="7" t="s">
        <v>23</v>
      </c>
      <c r="B507" s="7" t="s">
        <v>1502</v>
      </c>
      <c r="C507" s="7" t="s">
        <v>1477</v>
      </c>
      <c r="D507" s="8">
        <v>281553</v>
      </c>
      <c r="E507" s="7" t="s">
        <v>117</v>
      </c>
      <c r="F507" s="7" t="s">
        <v>1503</v>
      </c>
      <c r="G507" s="7" t="s">
        <v>72</v>
      </c>
      <c r="H507" s="7" t="s">
        <v>27</v>
      </c>
      <c r="I507" s="7" t="s">
        <v>28</v>
      </c>
      <c r="J507" s="7" t="s">
        <v>62</v>
      </c>
      <c r="K507" s="7" t="s">
        <v>63</v>
      </c>
      <c r="L507" s="7" t="s">
        <v>30</v>
      </c>
      <c r="M507" s="7" t="s">
        <v>1504</v>
      </c>
      <c r="N507" s="9" t="s">
        <v>32</v>
      </c>
      <c r="O507" s="9" t="s">
        <v>64</v>
      </c>
      <c r="P507" s="9" t="s">
        <v>34</v>
      </c>
      <c r="Q507" s="10" t="str">
        <f>IF(IDMaster[[#This Row],[Consumption]]="Consumption",IDMaster[[#This Row],[Consumption]],IDMaster[[#This Row],[Basis]])</f>
        <v>Revenue</v>
      </c>
      <c r="R507" s="7" t="str">
        <f>IDMaster[[#This Row],[Supported Group]]&amp;"."&amp;IDMaster[[#This Row],[Basis]]</f>
        <v>Support.Revenue</v>
      </c>
      <c r="S507" s="11">
        <v>0.42185161428265983</v>
      </c>
      <c r="T507" s="12">
        <v>0.57814838571734017</v>
      </c>
      <c r="U507" s="12">
        <v>0</v>
      </c>
      <c r="V507" s="12">
        <v>0</v>
      </c>
      <c r="W507" s="12">
        <v>0</v>
      </c>
    </row>
    <row r="508" spans="1:23" x14ac:dyDescent="0.35">
      <c r="A508" s="7" t="s">
        <v>23</v>
      </c>
      <c r="B508" s="7" t="s">
        <v>1505</v>
      </c>
      <c r="C508" s="7" t="s">
        <v>1477</v>
      </c>
      <c r="D508" s="8">
        <v>281553</v>
      </c>
      <c r="E508" s="7" t="s">
        <v>70</v>
      </c>
      <c r="F508" s="7" t="s">
        <v>1506</v>
      </c>
      <c r="G508" s="7" t="s">
        <v>72</v>
      </c>
      <c r="H508" s="7" t="s">
        <v>27</v>
      </c>
      <c r="I508" s="7" t="s">
        <v>28</v>
      </c>
      <c r="J508" s="7" t="s">
        <v>137</v>
      </c>
      <c r="K508" s="7" t="s">
        <v>63</v>
      </c>
      <c r="L508" s="7" t="s">
        <v>30</v>
      </c>
      <c r="M508" s="7" t="s">
        <v>43</v>
      </c>
      <c r="N508" s="9" t="s">
        <v>32</v>
      </c>
      <c r="O508" s="9" t="s">
        <v>67</v>
      </c>
      <c r="P508" s="9" t="s">
        <v>34</v>
      </c>
      <c r="Q508" s="10" t="str">
        <f>IF(IDMaster[[#This Row],[Consumption]]="Consumption",IDMaster[[#This Row],[Consumption]],IDMaster[[#This Row],[Basis]])</f>
        <v>Revenue</v>
      </c>
      <c r="R508" s="7" t="str">
        <f>IDMaster[[#This Row],[Supported Group]]&amp;"."&amp;IDMaster[[#This Row],[Basis]]</f>
        <v>IT Corporate.Revenue</v>
      </c>
      <c r="S508" s="11">
        <v>0.42185161428265983</v>
      </c>
      <c r="T508" s="12">
        <v>0.57814838571734017</v>
      </c>
      <c r="U508" s="12">
        <v>0</v>
      </c>
      <c r="V508" s="12">
        <v>0</v>
      </c>
      <c r="W508" s="12">
        <v>0</v>
      </c>
    </row>
    <row r="509" spans="1:23" x14ac:dyDescent="0.35">
      <c r="A509" s="7" t="s">
        <v>23</v>
      </c>
      <c r="B509" s="7" t="s">
        <v>1507</v>
      </c>
      <c r="C509" s="7" t="s">
        <v>1477</v>
      </c>
      <c r="D509" s="8">
        <v>281553</v>
      </c>
      <c r="E509" s="7" t="s">
        <v>227</v>
      </c>
      <c r="F509" s="7" t="s">
        <v>1508</v>
      </c>
      <c r="G509" s="7" t="s">
        <v>48</v>
      </c>
      <c r="H509" s="7" t="s">
        <v>27</v>
      </c>
      <c r="I509" s="7" t="s">
        <v>28</v>
      </c>
      <c r="J509" s="7" t="s">
        <v>62</v>
      </c>
      <c r="K509" s="7" t="s">
        <v>63</v>
      </c>
      <c r="L509" s="7" t="s">
        <v>30</v>
      </c>
      <c r="M509" s="7" t="s">
        <v>1509</v>
      </c>
      <c r="N509" s="9" t="s">
        <v>32</v>
      </c>
      <c r="O509" s="9" t="s">
        <v>64</v>
      </c>
      <c r="P509" s="9" t="s">
        <v>34</v>
      </c>
      <c r="Q509" s="10" t="str">
        <f>IF(IDMaster[[#This Row],[Consumption]]="Consumption",IDMaster[[#This Row],[Consumption]],IDMaster[[#This Row],[Basis]])</f>
        <v>Revenue</v>
      </c>
      <c r="R509" s="7" t="str">
        <f>IDMaster[[#This Row],[Supported Group]]&amp;"."&amp;IDMaster[[#This Row],[Basis]]</f>
        <v>Support.Revenue</v>
      </c>
      <c r="S509" s="11">
        <v>0.42185161428265983</v>
      </c>
      <c r="T509" s="12">
        <v>0.57814838571734017</v>
      </c>
      <c r="U509" s="12">
        <v>0</v>
      </c>
      <c r="V509" s="12">
        <v>0</v>
      </c>
      <c r="W509" s="12">
        <v>0</v>
      </c>
    </row>
    <row r="510" spans="1:23" x14ac:dyDescent="0.35">
      <c r="A510" s="7" t="s">
        <v>23</v>
      </c>
      <c r="B510" s="7" t="s">
        <v>1510</v>
      </c>
      <c r="C510" s="7" t="s">
        <v>1511</v>
      </c>
      <c r="D510" s="8">
        <v>232440</v>
      </c>
      <c r="E510" s="7" t="s">
        <v>70</v>
      </c>
      <c r="F510" s="7" t="s">
        <v>1512</v>
      </c>
      <c r="G510" s="7" t="s">
        <v>72</v>
      </c>
      <c r="H510" s="7" t="s">
        <v>27</v>
      </c>
      <c r="I510" s="7" t="s">
        <v>28</v>
      </c>
      <c r="J510" s="7" t="s">
        <v>40</v>
      </c>
      <c r="K510" s="7" t="s">
        <v>63</v>
      </c>
      <c r="L510" s="7" t="s">
        <v>30</v>
      </c>
      <c r="M510" s="7" t="s">
        <v>43</v>
      </c>
      <c r="N510" s="9" t="s">
        <v>32</v>
      </c>
      <c r="O510" s="9" t="s">
        <v>67</v>
      </c>
      <c r="P510" s="9" t="s">
        <v>34</v>
      </c>
      <c r="Q510" s="10" t="str">
        <f>IF(IDMaster[[#This Row],[Consumption]]="Consumption",IDMaster[[#This Row],[Consumption]],IDMaster[[#This Row],[Basis]])</f>
        <v>Revenue</v>
      </c>
      <c r="R510" s="7" t="str">
        <f>IDMaster[[#This Row],[Supported Group]]&amp;"."&amp;IDMaster[[#This Row],[Basis]]</f>
        <v>IT Corporate.Revenue</v>
      </c>
      <c r="S510" s="11">
        <v>0.42185161428265983</v>
      </c>
      <c r="T510" s="12">
        <v>0.57814838571734017</v>
      </c>
      <c r="U510" s="12">
        <v>0</v>
      </c>
      <c r="V510" s="12">
        <v>0</v>
      </c>
      <c r="W510" s="12">
        <v>0</v>
      </c>
    </row>
    <row r="511" spans="1:23" x14ac:dyDescent="0.35">
      <c r="A511" s="7" t="s">
        <v>23</v>
      </c>
      <c r="B511" s="7" t="s">
        <v>1513</v>
      </c>
      <c r="C511" s="7" t="s">
        <v>290</v>
      </c>
      <c r="D511" s="8">
        <v>317598</v>
      </c>
      <c r="E511" s="7" t="s">
        <v>963</v>
      </c>
      <c r="F511" s="7" t="s">
        <v>1514</v>
      </c>
      <c r="G511" s="7" t="s">
        <v>48</v>
      </c>
      <c r="H511" s="7" t="s">
        <v>27</v>
      </c>
      <c r="I511" s="7" t="s">
        <v>28</v>
      </c>
      <c r="J511" s="7" t="s">
        <v>62</v>
      </c>
      <c r="K511" s="7" t="s">
        <v>63</v>
      </c>
      <c r="L511" s="7" t="s">
        <v>30</v>
      </c>
      <c r="M511" s="7" t="s">
        <v>1514</v>
      </c>
      <c r="N511" s="9" t="s">
        <v>32</v>
      </c>
      <c r="O511" s="9" t="s">
        <v>64</v>
      </c>
      <c r="P511" s="9" t="s">
        <v>34</v>
      </c>
      <c r="Q511" s="10" t="str">
        <f>IF(IDMaster[[#This Row],[Consumption]]="Consumption",IDMaster[[#This Row],[Consumption]],IDMaster[[#This Row],[Basis]])</f>
        <v>Revenue</v>
      </c>
      <c r="R511" s="7" t="str">
        <f>IDMaster[[#This Row],[Supported Group]]&amp;"."&amp;IDMaster[[#This Row],[Basis]]</f>
        <v>Support.Revenue</v>
      </c>
      <c r="S511" s="11">
        <v>0.42185161428265983</v>
      </c>
      <c r="T511" s="12">
        <v>0.57814838571734017</v>
      </c>
      <c r="U511" s="12">
        <v>0</v>
      </c>
      <c r="V511" s="12">
        <v>0</v>
      </c>
      <c r="W511" s="12">
        <v>0</v>
      </c>
    </row>
    <row r="512" spans="1:23" x14ac:dyDescent="0.35">
      <c r="A512" s="7" t="s">
        <v>23</v>
      </c>
      <c r="B512" s="7" t="s">
        <v>1515</v>
      </c>
      <c r="C512" s="7" t="s">
        <v>1516</v>
      </c>
      <c r="D512" s="8">
        <v>303223</v>
      </c>
      <c r="E512" s="7" t="s">
        <v>46</v>
      </c>
      <c r="F512" s="7" t="s">
        <v>1517</v>
      </c>
      <c r="G512" s="7" t="s">
        <v>48</v>
      </c>
      <c r="H512" s="7" t="s">
        <v>27</v>
      </c>
      <c r="I512" s="7" t="s">
        <v>28</v>
      </c>
      <c r="J512" s="7" t="s">
        <v>62</v>
      </c>
      <c r="K512" s="7" t="s">
        <v>63</v>
      </c>
      <c r="L512" s="7" t="s">
        <v>30</v>
      </c>
      <c r="M512" s="7" t="s">
        <v>1518</v>
      </c>
      <c r="N512" s="9" t="s">
        <v>32</v>
      </c>
      <c r="O512" s="9" t="s">
        <v>64</v>
      </c>
      <c r="P512" s="9" t="s">
        <v>34</v>
      </c>
      <c r="Q512" s="10" t="str">
        <f>IF(IDMaster[[#This Row],[Consumption]]="Consumption",IDMaster[[#This Row],[Consumption]],IDMaster[[#This Row],[Basis]])</f>
        <v>Revenue</v>
      </c>
      <c r="R512" s="7" t="str">
        <f>IDMaster[[#This Row],[Supported Group]]&amp;"."&amp;IDMaster[[#This Row],[Basis]]</f>
        <v>Support.Revenue</v>
      </c>
      <c r="S512" s="11">
        <v>0.42185161428265983</v>
      </c>
      <c r="T512" s="12">
        <v>0.57814838571734017</v>
      </c>
      <c r="U512" s="12">
        <v>0</v>
      </c>
      <c r="V512" s="12">
        <v>0</v>
      </c>
      <c r="W512" s="12">
        <v>0</v>
      </c>
    </row>
    <row r="513" spans="1:23" x14ac:dyDescent="0.35">
      <c r="A513" s="7" t="s">
        <v>23</v>
      </c>
      <c r="B513" s="7" t="s">
        <v>1519</v>
      </c>
      <c r="C513" s="7" t="s">
        <v>393</v>
      </c>
      <c r="D513" s="8">
        <v>288645</v>
      </c>
      <c r="E513" s="7" t="s">
        <v>70</v>
      </c>
      <c r="F513" s="7" t="s">
        <v>1520</v>
      </c>
      <c r="G513" s="7" t="s">
        <v>72</v>
      </c>
      <c r="H513" s="7" t="s">
        <v>27</v>
      </c>
      <c r="I513" s="7" t="s">
        <v>28</v>
      </c>
      <c r="J513" s="7" t="s">
        <v>137</v>
      </c>
      <c r="K513" s="7" t="s">
        <v>63</v>
      </c>
      <c r="L513" s="7" t="s">
        <v>30</v>
      </c>
      <c r="M513" s="7" t="s">
        <v>43</v>
      </c>
      <c r="N513" s="9" t="s">
        <v>32</v>
      </c>
      <c r="O513" s="9" t="s">
        <v>67</v>
      </c>
      <c r="P513" s="9" t="s">
        <v>34</v>
      </c>
      <c r="Q513" s="10" t="str">
        <f>IF(IDMaster[[#This Row],[Consumption]]="Consumption",IDMaster[[#This Row],[Consumption]],IDMaster[[#This Row],[Basis]])</f>
        <v>Revenue</v>
      </c>
      <c r="R513" s="7" t="str">
        <f>IDMaster[[#This Row],[Supported Group]]&amp;"."&amp;IDMaster[[#This Row],[Basis]]</f>
        <v>IT Corporate.Revenue</v>
      </c>
      <c r="S513" s="11">
        <v>0.42185161428265983</v>
      </c>
      <c r="T513" s="12">
        <v>0.57814838571734017</v>
      </c>
      <c r="U513" s="12">
        <v>0</v>
      </c>
      <c r="V513" s="12">
        <v>0</v>
      </c>
      <c r="W513" s="12">
        <v>0</v>
      </c>
    </row>
    <row r="514" spans="1:23" x14ac:dyDescent="0.35">
      <c r="A514" s="7" t="s">
        <v>23</v>
      </c>
      <c r="B514" s="7" t="s">
        <v>1521</v>
      </c>
      <c r="C514" s="7" t="s">
        <v>290</v>
      </c>
      <c r="D514" s="8">
        <v>317598</v>
      </c>
      <c r="E514" s="7" t="s">
        <v>70</v>
      </c>
      <c r="F514" s="7" t="s">
        <v>1522</v>
      </c>
      <c r="G514" s="7" t="s">
        <v>72</v>
      </c>
      <c r="H514" s="7" t="s">
        <v>27</v>
      </c>
      <c r="I514" s="7" t="s">
        <v>28</v>
      </c>
      <c r="J514" s="7" t="s">
        <v>62</v>
      </c>
      <c r="K514" s="7" t="s">
        <v>63</v>
      </c>
      <c r="L514" s="7" t="s">
        <v>30</v>
      </c>
      <c r="M514" s="7" t="s">
        <v>1522</v>
      </c>
      <c r="N514" s="9" t="s">
        <v>32</v>
      </c>
      <c r="O514" s="9" t="s">
        <v>64</v>
      </c>
      <c r="P514" s="9" t="s">
        <v>34</v>
      </c>
      <c r="Q514" s="10" t="str">
        <f>IF(IDMaster[[#This Row],[Consumption]]="Consumption",IDMaster[[#This Row],[Consumption]],IDMaster[[#This Row],[Basis]])</f>
        <v>Revenue</v>
      </c>
      <c r="R514" s="7" t="str">
        <f>IDMaster[[#This Row],[Supported Group]]&amp;"."&amp;IDMaster[[#This Row],[Basis]]</f>
        <v>Support.Revenue</v>
      </c>
      <c r="S514" s="11">
        <v>0.42185161428265983</v>
      </c>
      <c r="T514" s="12">
        <v>0.57814838571734017</v>
      </c>
      <c r="U514" s="12">
        <v>0</v>
      </c>
      <c r="V514" s="12">
        <v>0</v>
      </c>
      <c r="W514" s="12">
        <v>0</v>
      </c>
    </row>
    <row r="515" spans="1:23" x14ac:dyDescent="0.35">
      <c r="A515" s="7" t="s">
        <v>23</v>
      </c>
      <c r="B515" s="7" t="s">
        <v>1523</v>
      </c>
      <c r="C515" s="7" t="s">
        <v>393</v>
      </c>
      <c r="D515" s="8">
        <v>288645</v>
      </c>
      <c r="E515" s="7" t="s">
        <v>46</v>
      </c>
      <c r="F515" s="7" t="s">
        <v>1524</v>
      </c>
      <c r="G515" s="7" t="s">
        <v>48</v>
      </c>
      <c r="H515" s="7" t="s">
        <v>27</v>
      </c>
      <c r="I515" s="7" t="s">
        <v>28</v>
      </c>
      <c r="J515" s="7" t="s">
        <v>62</v>
      </c>
      <c r="K515" s="7" t="s">
        <v>63</v>
      </c>
      <c r="L515" s="7" t="s">
        <v>30</v>
      </c>
      <c r="M515" s="7" t="s">
        <v>1524</v>
      </c>
      <c r="N515" s="9" t="s">
        <v>32</v>
      </c>
      <c r="O515" s="9" t="s">
        <v>64</v>
      </c>
      <c r="P515" s="9" t="s">
        <v>34</v>
      </c>
      <c r="Q515" s="10" t="str">
        <f>IF(IDMaster[[#This Row],[Consumption]]="Consumption",IDMaster[[#This Row],[Consumption]],IDMaster[[#This Row],[Basis]])</f>
        <v>Revenue</v>
      </c>
      <c r="R515" s="7" t="str">
        <f>IDMaster[[#This Row],[Supported Group]]&amp;"."&amp;IDMaster[[#This Row],[Basis]]</f>
        <v>Support.Revenue</v>
      </c>
      <c r="S515" s="11">
        <v>0.42185161428265983</v>
      </c>
      <c r="T515" s="12">
        <v>0.57814838571734017</v>
      </c>
      <c r="U515" s="12">
        <v>0</v>
      </c>
      <c r="V515" s="12">
        <v>0</v>
      </c>
      <c r="W515" s="12">
        <v>0</v>
      </c>
    </row>
    <row r="516" spans="1:23" x14ac:dyDescent="0.35">
      <c r="A516" s="7" t="s">
        <v>23</v>
      </c>
      <c r="B516" s="7" t="s">
        <v>1525</v>
      </c>
      <c r="C516" s="7" t="s">
        <v>536</v>
      </c>
      <c r="D516" s="8">
        <v>300434</v>
      </c>
      <c r="E516" s="7" t="s">
        <v>1526</v>
      </c>
      <c r="F516" s="7" t="s">
        <v>1527</v>
      </c>
      <c r="G516" s="7" t="s">
        <v>72</v>
      </c>
      <c r="H516" s="7" t="s">
        <v>27</v>
      </c>
      <c r="I516" s="7" t="s">
        <v>123</v>
      </c>
      <c r="J516" s="7" t="s">
        <v>62</v>
      </c>
      <c r="K516" s="7" t="s">
        <v>561</v>
      </c>
      <c r="L516" s="7" t="s">
        <v>30</v>
      </c>
      <c r="M516" s="7" t="s">
        <v>64</v>
      </c>
      <c r="N516" s="9" t="s">
        <v>446</v>
      </c>
      <c r="O516" s="9" t="s">
        <v>195</v>
      </c>
      <c r="P516" s="9" t="s">
        <v>34</v>
      </c>
      <c r="Q516" s="10" t="str">
        <f>IF(IDMaster[[#This Row],[Consumption]]="Consumption",IDMaster[[#This Row],[Consumption]],IDMaster[[#This Row],[Basis]])</f>
        <v>Acima Direct</v>
      </c>
      <c r="R516" s="7" t="str">
        <f>IDMaster[[#This Row],[Supported Group]]&amp;"."&amp;IDMaster[[#This Row],[Basis]]</f>
        <v>External Labor.Acima Direct</v>
      </c>
      <c r="S516" s="11">
        <v>0</v>
      </c>
      <c r="T516" s="12">
        <v>1</v>
      </c>
      <c r="U516" s="12">
        <v>0</v>
      </c>
      <c r="V516" s="12">
        <v>0</v>
      </c>
      <c r="W516" s="12">
        <v>0</v>
      </c>
    </row>
    <row r="517" spans="1:23" x14ac:dyDescent="0.35">
      <c r="A517" s="7" t="s">
        <v>23</v>
      </c>
      <c r="B517" s="7" t="s">
        <v>1528</v>
      </c>
      <c r="C517" s="7" t="s">
        <v>290</v>
      </c>
      <c r="D517" s="8">
        <v>317598</v>
      </c>
      <c r="E517" s="7" t="s">
        <v>1243</v>
      </c>
      <c r="F517" s="7" t="s">
        <v>1529</v>
      </c>
      <c r="G517" s="7" t="s">
        <v>72</v>
      </c>
      <c r="H517" s="7" t="s">
        <v>27</v>
      </c>
      <c r="I517" s="7" t="s">
        <v>28</v>
      </c>
      <c r="J517" s="7" t="s">
        <v>62</v>
      </c>
      <c r="K517" s="7" t="s">
        <v>63</v>
      </c>
      <c r="L517" s="7" t="s">
        <v>30</v>
      </c>
      <c r="M517" s="7" t="s">
        <v>1529</v>
      </c>
      <c r="N517" s="9" t="s">
        <v>32</v>
      </c>
      <c r="O517" s="9" t="s">
        <v>64</v>
      </c>
      <c r="P517" s="9" t="s">
        <v>34</v>
      </c>
      <c r="Q517" s="10" t="str">
        <f>IF(IDMaster[[#This Row],[Consumption]]="Consumption",IDMaster[[#This Row],[Consumption]],IDMaster[[#This Row],[Basis]])</f>
        <v>Revenue</v>
      </c>
      <c r="R517" s="7" t="str">
        <f>IDMaster[[#This Row],[Supported Group]]&amp;"."&amp;IDMaster[[#This Row],[Basis]]</f>
        <v>Support.Revenue</v>
      </c>
      <c r="S517" s="11">
        <v>0.42185161428265983</v>
      </c>
      <c r="T517" s="12">
        <v>0.57814838571734017</v>
      </c>
      <c r="U517" s="12">
        <v>0</v>
      </c>
      <c r="V517" s="12">
        <v>0</v>
      </c>
      <c r="W517" s="12">
        <v>0</v>
      </c>
    </row>
    <row r="518" spans="1:23" x14ac:dyDescent="0.35">
      <c r="A518" s="7" t="s">
        <v>23</v>
      </c>
      <c r="B518" s="7" t="s">
        <v>1530</v>
      </c>
      <c r="C518" s="7" t="s">
        <v>1531</v>
      </c>
      <c r="D518" s="8">
        <v>302568</v>
      </c>
      <c r="E518" s="7" t="s">
        <v>1243</v>
      </c>
      <c r="F518" s="7" t="s">
        <v>1532</v>
      </c>
      <c r="G518" s="7" t="s">
        <v>72</v>
      </c>
      <c r="H518" s="7" t="s">
        <v>27</v>
      </c>
      <c r="I518" s="7" t="s">
        <v>28</v>
      </c>
      <c r="J518" s="7" t="s">
        <v>62</v>
      </c>
      <c r="K518" s="7" t="s">
        <v>508</v>
      </c>
      <c r="L518" s="7" t="s">
        <v>30</v>
      </c>
      <c r="M518" s="7" t="s">
        <v>1533</v>
      </c>
      <c r="N518" s="9" t="s">
        <v>92</v>
      </c>
      <c r="O518" s="9" t="s">
        <v>64</v>
      </c>
      <c r="P518" s="9" t="s">
        <v>34</v>
      </c>
      <c r="Q518" s="10" t="str">
        <f>IF(IDMaster[[#This Row],[Consumption]]="Consumption",IDMaster[[#This Row],[Consumption]],IDMaster[[#This Row],[Basis]])</f>
        <v>Total Headcount</v>
      </c>
      <c r="R518" s="7" t="str">
        <f>IDMaster[[#This Row],[Supported Group]]&amp;"."&amp;IDMaster[[#This Row],[Basis]]</f>
        <v>Support.Total Headcount</v>
      </c>
      <c r="S518" s="11">
        <v>0.69106036166058238</v>
      </c>
      <c r="T518" s="12">
        <v>0.14347567705238135</v>
      </c>
      <c r="U518" s="12">
        <v>0</v>
      </c>
      <c r="V518" s="12">
        <v>0</v>
      </c>
      <c r="W518" s="12">
        <v>0.16546396128703625</v>
      </c>
    </row>
    <row r="519" spans="1:23" x14ac:dyDescent="0.35">
      <c r="A519" s="7" t="s">
        <v>23</v>
      </c>
      <c r="B519" s="7" t="s">
        <v>1534</v>
      </c>
      <c r="C519" s="7" t="s">
        <v>393</v>
      </c>
      <c r="D519" s="8">
        <v>288645</v>
      </c>
      <c r="E519" s="7" t="s">
        <v>559</v>
      </c>
      <c r="F519" s="7" t="s">
        <v>1535</v>
      </c>
      <c r="G519" s="7" t="s">
        <v>48</v>
      </c>
      <c r="H519" s="7" t="s">
        <v>27</v>
      </c>
      <c r="I519" s="7" t="s">
        <v>28</v>
      </c>
      <c r="J519" s="7" t="s">
        <v>62</v>
      </c>
      <c r="K519" s="7" t="s">
        <v>63</v>
      </c>
      <c r="L519" s="7" t="s">
        <v>30</v>
      </c>
      <c r="M519" s="7" t="s">
        <v>1535</v>
      </c>
      <c r="N519" s="9" t="s">
        <v>32</v>
      </c>
      <c r="O519" s="9" t="s">
        <v>64</v>
      </c>
      <c r="P519" s="9" t="s">
        <v>34</v>
      </c>
      <c r="Q519" s="10" t="str">
        <f>IF(IDMaster[[#This Row],[Consumption]]="Consumption",IDMaster[[#This Row],[Consumption]],IDMaster[[#This Row],[Basis]])</f>
        <v>Revenue</v>
      </c>
      <c r="R519" s="7" t="str">
        <f>IDMaster[[#This Row],[Supported Group]]&amp;"."&amp;IDMaster[[#This Row],[Basis]]</f>
        <v>Support.Revenue</v>
      </c>
      <c r="S519" s="11">
        <v>0.42185161428265983</v>
      </c>
      <c r="T519" s="12">
        <v>0.57814838571734017</v>
      </c>
      <c r="U519" s="12">
        <v>0</v>
      </c>
      <c r="V519" s="12">
        <v>0</v>
      </c>
      <c r="W519" s="12">
        <v>0</v>
      </c>
    </row>
    <row r="520" spans="1:23" x14ac:dyDescent="0.35">
      <c r="A520" s="7" t="s">
        <v>23</v>
      </c>
      <c r="B520" s="7" t="s">
        <v>1536</v>
      </c>
      <c r="C520" s="7" t="s">
        <v>393</v>
      </c>
      <c r="D520" s="8">
        <v>288645</v>
      </c>
      <c r="E520" s="7" t="s">
        <v>46</v>
      </c>
      <c r="F520" s="7" t="s">
        <v>1537</v>
      </c>
      <c r="G520" s="7" t="s">
        <v>48</v>
      </c>
      <c r="H520" s="7" t="s">
        <v>27</v>
      </c>
      <c r="I520" s="7" t="s">
        <v>28</v>
      </c>
      <c r="J520" s="7" t="s">
        <v>62</v>
      </c>
      <c r="K520" s="7" t="s">
        <v>63</v>
      </c>
      <c r="L520" s="7" t="s">
        <v>30</v>
      </c>
      <c r="M520" s="7" t="s">
        <v>1538</v>
      </c>
      <c r="N520" s="9" t="s">
        <v>32</v>
      </c>
      <c r="O520" s="9" t="s">
        <v>64</v>
      </c>
      <c r="P520" s="9" t="s">
        <v>34</v>
      </c>
      <c r="Q520" s="10" t="str">
        <f>IF(IDMaster[[#This Row],[Consumption]]="Consumption",IDMaster[[#This Row],[Consumption]],IDMaster[[#This Row],[Basis]])</f>
        <v>Revenue</v>
      </c>
      <c r="R520" s="7" t="str">
        <f>IDMaster[[#This Row],[Supported Group]]&amp;"."&amp;IDMaster[[#This Row],[Basis]]</f>
        <v>Support.Revenue</v>
      </c>
      <c r="S520" s="11">
        <v>0.42185161428265983</v>
      </c>
      <c r="T520" s="12">
        <v>0.57814838571734017</v>
      </c>
      <c r="U520" s="12">
        <v>0</v>
      </c>
      <c r="V520" s="12">
        <v>0</v>
      </c>
      <c r="W520" s="12">
        <v>0</v>
      </c>
    </row>
    <row r="521" spans="1:23" x14ac:dyDescent="0.35">
      <c r="A521" s="7" t="s">
        <v>23</v>
      </c>
      <c r="B521" s="7" t="s">
        <v>1539</v>
      </c>
      <c r="C521" s="7" t="s">
        <v>1511</v>
      </c>
      <c r="D521" s="8">
        <v>232440</v>
      </c>
      <c r="E521" s="7" t="s">
        <v>156</v>
      </c>
      <c r="F521" s="7" t="s">
        <v>1512</v>
      </c>
      <c r="G521" s="7" t="s">
        <v>103</v>
      </c>
      <c r="H521" s="7" t="s">
        <v>27</v>
      </c>
      <c r="I521" s="7" t="s">
        <v>28</v>
      </c>
      <c r="J521" s="7" t="s">
        <v>137</v>
      </c>
      <c r="K521" s="7" t="s">
        <v>508</v>
      </c>
      <c r="L521" s="7" t="s">
        <v>30</v>
      </c>
      <c r="M521" s="7" t="s">
        <v>43</v>
      </c>
      <c r="N521" s="9" t="s">
        <v>92</v>
      </c>
      <c r="O521" s="9" t="s">
        <v>67</v>
      </c>
      <c r="P521" s="9" t="s">
        <v>34</v>
      </c>
      <c r="Q521" s="10" t="str">
        <f>IF(IDMaster[[#This Row],[Consumption]]="Consumption",IDMaster[[#This Row],[Consumption]],IDMaster[[#This Row],[Basis]])</f>
        <v>Total Headcount</v>
      </c>
      <c r="R521" s="7" t="str">
        <f>IDMaster[[#This Row],[Supported Group]]&amp;"."&amp;IDMaster[[#This Row],[Basis]]</f>
        <v>IT Corporate.Total Headcount</v>
      </c>
      <c r="S521" s="11">
        <v>0.69106036166058238</v>
      </c>
      <c r="T521" s="12">
        <v>0.14347567705238135</v>
      </c>
      <c r="U521" s="12">
        <v>0</v>
      </c>
      <c r="V521" s="12">
        <v>0</v>
      </c>
      <c r="W521" s="12">
        <v>0.16546396128703625</v>
      </c>
    </row>
    <row r="522" spans="1:23" x14ac:dyDescent="0.35">
      <c r="A522" s="7" t="s">
        <v>23</v>
      </c>
      <c r="B522" s="7" t="s">
        <v>1540</v>
      </c>
      <c r="C522" s="7" t="s">
        <v>1541</v>
      </c>
      <c r="D522" s="8">
        <v>363704</v>
      </c>
      <c r="E522" s="7" t="s">
        <v>46</v>
      </c>
      <c r="F522" s="7" t="s">
        <v>1542</v>
      </c>
      <c r="G522" s="7" t="s">
        <v>48</v>
      </c>
      <c r="H522" s="7" t="s">
        <v>27</v>
      </c>
      <c r="I522" s="7" t="s">
        <v>28</v>
      </c>
      <c r="J522" s="7" t="s">
        <v>62</v>
      </c>
      <c r="K522" s="7" t="s">
        <v>29</v>
      </c>
      <c r="L522" s="7" t="s">
        <v>30</v>
      </c>
      <c r="M522" s="7" t="s">
        <v>1543</v>
      </c>
      <c r="N522" s="9" t="s">
        <v>32</v>
      </c>
      <c r="O522" s="9" t="s">
        <v>64</v>
      </c>
      <c r="P522" s="9" t="s">
        <v>34</v>
      </c>
      <c r="Q522" s="10" t="str">
        <f>IF(IDMaster[[#This Row],[Consumption]]="Consumption",IDMaster[[#This Row],[Consumption]],IDMaster[[#This Row],[Basis]])</f>
        <v>Revenue</v>
      </c>
      <c r="R522" s="7" t="str">
        <f>IDMaster[[#This Row],[Supported Group]]&amp;"."&amp;IDMaster[[#This Row],[Basis]]</f>
        <v>Support.Revenue</v>
      </c>
      <c r="S522" s="11">
        <v>0.42185161428265983</v>
      </c>
      <c r="T522" s="12">
        <v>0.57814838571734017</v>
      </c>
      <c r="U522" s="12">
        <v>0</v>
      </c>
      <c r="V522" s="12">
        <v>0</v>
      </c>
      <c r="W522" s="12">
        <v>0</v>
      </c>
    </row>
    <row r="523" spans="1:23" x14ac:dyDescent="0.35">
      <c r="A523" s="7" t="s">
        <v>23</v>
      </c>
      <c r="B523" s="7" t="s">
        <v>1544</v>
      </c>
      <c r="C523" s="7" t="s">
        <v>1545</v>
      </c>
      <c r="D523" s="8">
        <v>290654</v>
      </c>
      <c r="E523" s="7" t="s">
        <v>227</v>
      </c>
      <c r="F523" s="7" t="s">
        <v>1546</v>
      </c>
      <c r="G523" s="7" t="s">
        <v>48</v>
      </c>
      <c r="H523" s="7" t="s">
        <v>27</v>
      </c>
      <c r="I523" s="7" t="s">
        <v>28</v>
      </c>
      <c r="J523" s="7" t="s">
        <v>625</v>
      </c>
      <c r="K523" s="7" t="s">
        <v>713</v>
      </c>
      <c r="L523" s="7" t="s">
        <v>631</v>
      </c>
      <c r="M523" s="7" t="s">
        <v>43</v>
      </c>
      <c r="N523" s="9" t="s">
        <v>92</v>
      </c>
      <c r="O523" s="9" t="s">
        <v>51</v>
      </c>
      <c r="P523" s="9" t="s">
        <v>34</v>
      </c>
      <c r="Q523" s="10" t="str">
        <f>IF(IDMaster[[#This Row],[Consumption]]="Consumption",IDMaster[[#This Row],[Consumption]],IDMaster[[#This Row],[Basis]])</f>
        <v>Total Headcount</v>
      </c>
      <c r="R523" s="7" t="str">
        <f>IDMaster[[#This Row],[Supported Group]]&amp;"."&amp;IDMaster[[#This Row],[Basis]]</f>
        <v>IT Infrastructure.Total Headcount</v>
      </c>
      <c r="S523" s="11">
        <v>0.69106036166058238</v>
      </c>
      <c r="T523" s="12">
        <v>0.14347567705238135</v>
      </c>
      <c r="U523" s="12">
        <v>0</v>
      </c>
      <c r="V523" s="12">
        <v>0</v>
      </c>
      <c r="W523" s="12">
        <v>0.16546396128703625</v>
      </c>
    </row>
    <row r="524" spans="1:23" x14ac:dyDescent="0.35">
      <c r="A524" s="7" t="s">
        <v>23</v>
      </c>
      <c r="B524" s="7" t="s">
        <v>1547</v>
      </c>
      <c r="C524" s="7" t="s">
        <v>169</v>
      </c>
      <c r="D524" s="8"/>
      <c r="E524" s="7" t="s">
        <v>70</v>
      </c>
      <c r="F524" s="7" t="s">
        <v>1548</v>
      </c>
      <c r="G524" s="7" t="s">
        <v>55</v>
      </c>
      <c r="H524" s="7" t="s">
        <v>27</v>
      </c>
      <c r="I524" s="7" t="s">
        <v>28</v>
      </c>
      <c r="J524" s="7" t="s">
        <v>137</v>
      </c>
      <c r="K524" s="7" t="s">
        <v>63</v>
      </c>
      <c r="L524" s="7" t="s">
        <v>30</v>
      </c>
      <c r="M524" s="7" t="s">
        <v>43</v>
      </c>
      <c r="N524" s="9" t="s">
        <v>32</v>
      </c>
      <c r="O524" s="9" t="s">
        <v>67</v>
      </c>
      <c r="P524" s="9" t="s">
        <v>34</v>
      </c>
      <c r="Q524" s="10" t="str">
        <f>IF(IDMaster[[#This Row],[Consumption]]="Consumption",IDMaster[[#This Row],[Consumption]],IDMaster[[#This Row],[Basis]])</f>
        <v>Revenue</v>
      </c>
      <c r="R524" s="7" t="str">
        <f>IDMaster[[#This Row],[Supported Group]]&amp;"."&amp;IDMaster[[#This Row],[Basis]]</f>
        <v>IT Corporate.Revenue</v>
      </c>
      <c r="S524" s="11">
        <v>0.42185161428265983</v>
      </c>
      <c r="T524" s="12">
        <v>0.57814838571734017</v>
      </c>
      <c r="U524" s="12">
        <v>0</v>
      </c>
      <c r="V524" s="12">
        <v>0</v>
      </c>
      <c r="W524" s="12">
        <v>0</v>
      </c>
    </row>
    <row r="525" spans="1:23" x14ac:dyDescent="0.35">
      <c r="A525" s="7" t="s">
        <v>23</v>
      </c>
      <c r="B525" s="7" t="s">
        <v>1549</v>
      </c>
      <c r="C525" s="7" t="s">
        <v>329</v>
      </c>
      <c r="D525" s="8">
        <v>207712</v>
      </c>
      <c r="E525" s="7" t="s">
        <v>584</v>
      </c>
      <c r="F525" s="7" t="s">
        <v>1133</v>
      </c>
      <c r="G525" s="7" t="s">
        <v>55</v>
      </c>
      <c r="H525" s="7" t="s">
        <v>27</v>
      </c>
      <c r="I525" s="7" t="s">
        <v>28</v>
      </c>
      <c r="J525" s="7" t="s">
        <v>40</v>
      </c>
      <c r="K525" s="7" t="s">
        <v>626</v>
      </c>
      <c r="L525" s="7" t="s">
        <v>627</v>
      </c>
      <c r="M525" s="7" t="s">
        <v>43</v>
      </c>
      <c r="N525" s="9" t="s">
        <v>32</v>
      </c>
      <c r="O525" s="9" t="s">
        <v>67</v>
      </c>
      <c r="P525" s="9" t="s">
        <v>34</v>
      </c>
      <c r="Q525" s="10" t="str">
        <f>IF(IDMaster[[#This Row],[Consumption]]="Consumption",IDMaster[[#This Row],[Consumption]],IDMaster[[#This Row],[Basis]])</f>
        <v>Revenue</v>
      </c>
      <c r="R525" s="7" t="str">
        <f>IDMaster[[#This Row],[Supported Group]]&amp;"."&amp;IDMaster[[#This Row],[Basis]]</f>
        <v>IT Corporate.Revenue</v>
      </c>
      <c r="S525" s="11">
        <v>0.42185161428265983</v>
      </c>
      <c r="T525" s="12">
        <v>0.57814838571734017</v>
      </c>
      <c r="U525" s="12">
        <v>0</v>
      </c>
      <c r="V525" s="12">
        <v>0</v>
      </c>
      <c r="W525" s="12">
        <v>0</v>
      </c>
    </row>
    <row r="526" spans="1:23" x14ac:dyDescent="0.35">
      <c r="A526" s="7" t="s">
        <v>23</v>
      </c>
      <c r="B526" s="7" t="s">
        <v>1550</v>
      </c>
      <c r="C526" s="7" t="s">
        <v>980</v>
      </c>
      <c r="D526" s="8">
        <v>298136</v>
      </c>
      <c r="E526" s="7" t="s">
        <v>117</v>
      </c>
      <c r="F526" s="7" t="s">
        <v>1551</v>
      </c>
      <c r="G526" s="7" t="s">
        <v>72</v>
      </c>
      <c r="H526" s="7" t="s">
        <v>39</v>
      </c>
      <c r="I526" s="7" t="s">
        <v>123</v>
      </c>
      <c r="J526" s="7" t="s">
        <v>40</v>
      </c>
      <c r="K526" s="7" t="s">
        <v>41</v>
      </c>
      <c r="L526" s="7" t="s">
        <v>42</v>
      </c>
      <c r="M526" s="7" t="s">
        <v>1552</v>
      </c>
      <c r="N526" s="9" t="s">
        <v>126</v>
      </c>
      <c r="O526" s="9" t="s">
        <v>272</v>
      </c>
      <c r="P526" s="9" t="s">
        <v>34</v>
      </c>
      <c r="Q526" s="10" t="str">
        <f>IF(IDMaster[[#This Row],[Consumption]]="Consumption",IDMaster[[#This Row],[Consumption]],IDMaster[[#This Row],[Basis]])</f>
        <v>RAC Direct</v>
      </c>
      <c r="R526" s="7" t="str">
        <f>IDMaster[[#This Row],[Supported Group]]&amp;"."&amp;IDMaster[[#This Row],[Basis]]</f>
        <v>eCommerce.RAC Direct</v>
      </c>
      <c r="S526" s="11">
        <v>1</v>
      </c>
      <c r="T526" s="12">
        <v>0</v>
      </c>
      <c r="U526" s="12">
        <v>0</v>
      </c>
      <c r="V526" s="12">
        <v>0</v>
      </c>
      <c r="W526" s="12">
        <v>0</v>
      </c>
    </row>
    <row r="527" spans="1:23" x14ac:dyDescent="0.35">
      <c r="A527" s="7" t="s">
        <v>23</v>
      </c>
      <c r="B527" s="7" t="s">
        <v>1553</v>
      </c>
      <c r="C527" s="7" t="s">
        <v>1554</v>
      </c>
      <c r="D527" s="8">
        <v>306193</v>
      </c>
      <c r="E527" s="7" t="s">
        <v>117</v>
      </c>
      <c r="F527" s="7" t="s">
        <v>1555</v>
      </c>
      <c r="G527" s="7" t="s">
        <v>72</v>
      </c>
      <c r="H527" s="7" t="s">
        <v>39</v>
      </c>
      <c r="I527" s="7" t="s">
        <v>123</v>
      </c>
      <c r="J527" s="7" t="s">
        <v>40</v>
      </c>
      <c r="K527" s="7" t="s">
        <v>80</v>
      </c>
      <c r="L527" s="7" t="s">
        <v>42</v>
      </c>
      <c r="M527" s="7" t="s">
        <v>1556</v>
      </c>
      <c r="N527" s="9" t="s">
        <v>126</v>
      </c>
      <c r="O527" s="9" t="s">
        <v>33</v>
      </c>
      <c r="P527" s="9" t="s">
        <v>34</v>
      </c>
      <c r="Q527" s="10" t="str">
        <f>IF(IDMaster[[#This Row],[Consumption]]="Consumption",IDMaster[[#This Row],[Consumption]],IDMaster[[#This Row],[Basis]])</f>
        <v>RAC Direct</v>
      </c>
      <c r="R527" s="7" t="str">
        <f>IDMaster[[#This Row],[Supported Group]]&amp;"."&amp;IDMaster[[#This Row],[Basis]]</f>
        <v>IT Tools.RAC Direct</v>
      </c>
      <c r="S527" s="11">
        <v>1</v>
      </c>
      <c r="T527" s="12">
        <v>0</v>
      </c>
      <c r="U527" s="12">
        <v>0</v>
      </c>
      <c r="V527" s="12">
        <v>0</v>
      </c>
      <c r="W527" s="12">
        <v>0</v>
      </c>
    </row>
    <row r="528" spans="1:23" x14ac:dyDescent="0.35">
      <c r="A528" s="7" t="s">
        <v>23</v>
      </c>
      <c r="B528" s="7" t="s">
        <v>1557</v>
      </c>
      <c r="C528" s="7" t="s">
        <v>1558</v>
      </c>
      <c r="D528" s="8">
        <v>238095</v>
      </c>
      <c r="E528" s="7" t="s">
        <v>117</v>
      </c>
      <c r="F528" s="7" t="s">
        <v>1559</v>
      </c>
      <c r="G528" s="7" t="s">
        <v>72</v>
      </c>
      <c r="H528" s="7" t="s">
        <v>39</v>
      </c>
      <c r="I528" s="7" t="s">
        <v>123</v>
      </c>
      <c r="J528" s="7" t="s">
        <v>40</v>
      </c>
      <c r="K528" s="7" t="s">
        <v>80</v>
      </c>
      <c r="L528" s="7" t="s">
        <v>42</v>
      </c>
      <c r="M528" s="7" t="s">
        <v>43</v>
      </c>
      <c r="N528" s="9" t="s">
        <v>126</v>
      </c>
      <c r="O528" s="9" t="s">
        <v>538</v>
      </c>
      <c r="P528" s="9" t="s">
        <v>34</v>
      </c>
      <c r="Q528" s="10" t="str">
        <f>IF(IDMaster[[#This Row],[Consumption]]="Consumption",IDMaster[[#This Row],[Consumption]],IDMaster[[#This Row],[Basis]])</f>
        <v>RAC Direct</v>
      </c>
      <c r="R528" s="7" t="str">
        <f>IDMaster[[#This Row],[Supported Group]]&amp;"."&amp;IDMaster[[#This Row],[Basis]]</f>
        <v>RAC.RAC Direct</v>
      </c>
      <c r="S528" s="11">
        <v>1</v>
      </c>
      <c r="T528" s="12">
        <v>0</v>
      </c>
      <c r="U528" s="12">
        <v>0</v>
      </c>
      <c r="V528" s="12">
        <v>0</v>
      </c>
      <c r="W528" s="12">
        <v>0</v>
      </c>
    </row>
    <row r="529" spans="1:23" x14ac:dyDescent="0.35">
      <c r="A529" s="7" t="s">
        <v>23</v>
      </c>
      <c r="B529" s="7" t="s">
        <v>1560</v>
      </c>
      <c r="C529" s="7" t="s">
        <v>116</v>
      </c>
      <c r="D529" s="8">
        <v>250849</v>
      </c>
      <c r="E529" s="7" t="s">
        <v>117</v>
      </c>
      <c r="F529" s="7" t="s">
        <v>118</v>
      </c>
      <c r="G529" s="7" t="s">
        <v>72</v>
      </c>
      <c r="H529" s="7" t="s">
        <v>39</v>
      </c>
      <c r="I529" s="7" t="s">
        <v>28</v>
      </c>
      <c r="J529" s="7" t="s">
        <v>40</v>
      </c>
      <c r="K529" s="7" t="s">
        <v>80</v>
      </c>
      <c r="L529" s="7" t="s">
        <v>42</v>
      </c>
      <c r="M529" s="7" t="s">
        <v>119</v>
      </c>
      <c r="N529" s="9" t="s">
        <v>32</v>
      </c>
      <c r="O529" s="9" t="s">
        <v>81</v>
      </c>
      <c r="P529" s="9" t="s">
        <v>34</v>
      </c>
      <c r="Q529" s="10" t="str">
        <f>IF(IDMaster[[#This Row],[Consumption]]="Consumption",IDMaster[[#This Row],[Consumption]],IDMaster[[#This Row],[Basis]])</f>
        <v>Revenue</v>
      </c>
      <c r="R529" s="7" t="str">
        <f>IDMaster[[#This Row],[Supported Group]]&amp;"."&amp;IDMaster[[#This Row],[Basis]]</f>
        <v>Data.Revenue</v>
      </c>
      <c r="S529" s="11">
        <v>0.42185161428265983</v>
      </c>
      <c r="T529" s="12">
        <v>0.57814838571734017</v>
      </c>
      <c r="U529" s="12">
        <v>0</v>
      </c>
      <c r="V529" s="12">
        <v>0</v>
      </c>
      <c r="W529" s="12">
        <v>0</v>
      </c>
    </row>
    <row r="530" spans="1:23" x14ac:dyDescent="0.35">
      <c r="A530" s="7" t="s">
        <v>23</v>
      </c>
      <c r="B530" s="7" t="s">
        <v>1561</v>
      </c>
      <c r="C530" s="7" t="s">
        <v>1562</v>
      </c>
      <c r="D530" s="8">
        <v>285906</v>
      </c>
      <c r="E530" s="7" t="s">
        <v>117</v>
      </c>
      <c r="F530" s="7" t="s">
        <v>1563</v>
      </c>
      <c r="G530" s="7" t="s">
        <v>72</v>
      </c>
      <c r="H530" s="7" t="s">
        <v>39</v>
      </c>
      <c r="I530" s="7" t="s">
        <v>28</v>
      </c>
      <c r="J530" s="7" t="s">
        <v>267</v>
      </c>
      <c r="K530" s="7" t="s">
        <v>80</v>
      </c>
      <c r="L530" s="7" t="s">
        <v>42</v>
      </c>
      <c r="M530" s="7" t="s">
        <v>1564</v>
      </c>
      <c r="N530" s="9" t="s">
        <v>32</v>
      </c>
      <c r="O530" s="9" t="s">
        <v>51</v>
      </c>
      <c r="P530" s="9" t="s">
        <v>34</v>
      </c>
      <c r="Q530" s="10" t="str">
        <f>IF(IDMaster[[#This Row],[Consumption]]="Consumption",IDMaster[[#This Row],[Consumption]],IDMaster[[#This Row],[Basis]])</f>
        <v>Revenue</v>
      </c>
      <c r="R530" s="7" t="str">
        <f>IDMaster[[#This Row],[Supported Group]]&amp;"."&amp;IDMaster[[#This Row],[Basis]]</f>
        <v>IT Infrastructure.Revenue</v>
      </c>
      <c r="S530" s="11">
        <v>0.42185161428265983</v>
      </c>
      <c r="T530" s="12">
        <v>0.57814838571734017</v>
      </c>
      <c r="U530" s="12">
        <v>0</v>
      </c>
      <c r="V530" s="12">
        <v>0</v>
      </c>
      <c r="W530" s="12">
        <v>0</v>
      </c>
    </row>
    <row r="531" spans="1:23" x14ac:dyDescent="0.35">
      <c r="A531" s="7" t="s">
        <v>23</v>
      </c>
      <c r="B531" s="7" t="s">
        <v>1565</v>
      </c>
      <c r="C531" s="7" t="s">
        <v>1566</v>
      </c>
      <c r="D531" s="8">
        <v>312788</v>
      </c>
      <c r="E531" s="7" t="s">
        <v>117</v>
      </c>
      <c r="F531" s="7" t="s">
        <v>1567</v>
      </c>
      <c r="G531" s="7" t="s">
        <v>72</v>
      </c>
      <c r="H531" s="7" t="s">
        <v>39</v>
      </c>
      <c r="I531" s="7" t="s">
        <v>28</v>
      </c>
      <c r="J531" s="7" t="s">
        <v>40</v>
      </c>
      <c r="K531" s="7" t="s">
        <v>41</v>
      </c>
      <c r="L531" s="7" t="s">
        <v>42</v>
      </c>
      <c r="M531" s="7" t="s">
        <v>1568</v>
      </c>
      <c r="N531" s="9" t="s">
        <v>32</v>
      </c>
      <c r="O531" s="9" t="s">
        <v>272</v>
      </c>
      <c r="P531" s="9" t="s">
        <v>34</v>
      </c>
      <c r="Q531" s="10" t="str">
        <f>IF(IDMaster[[#This Row],[Consumption]]="Consumption",IDMaster[[#This Row],[Consumption]],IDMaster[[#This Row],[Basis]])</f>
        <v>Revenue</v>
      </c>
      <c r="R531" s="7" t="str">
        <f>IDMaster[[#This Row],[Supported Group]]&amp;"."&amp;IDMaster[[#This Row],[Basis]]</f>
        <v>eCommerce.Revenue</v>
      </c>
      <c r="S531" s="11">
        <v>0.42185161428265983</v>
      </c>
      <c r="T531" s="12">
        <v>0.57814838571734017</v>
      </c>
      <c r="U531" s="12">
        <v>0</v>
      </c>
      <c r="V531" s="12">
        <v>0</v>
      </c>
      <c r="W531" s="12">
        <v>0</v>
      </c>
    </row>
    <row r="532" spans="1:23" x14ac:dyDescent="0.35">
      <c r="A532" s="7" t="s">
        <v>23</v>
      </c>
      <c r="B532" s="7" t="s">
        <v>1569</v>
      </c>
      <c r="C532" s="7" t="s">
        <v>536</v>
      </c>
      <c r="D532" s="8">
        <v>300434</v>
      </c>
      <c r="E532" s="7" t="s">
        <v>559</v>
      </c>
      <c r="F532" s="7" t="s">
        <v>1570</v>
      </c>
      <c r="G532" s="7" t="s">
        <v>72</v>
      </c>
      <c r="H532" s="7" t="s">
        <v>39</v>
      </c>
      <c r="I532" s="7" t="s">
        <v>123</v>
      </c>
      <c r="J532" s="7" t="s">
        <v>62</v>
      </c>
      <c r="K532" s="7" t="s">
        <v>561</v>
      </c>
      <c r="L532" s="7" t="s">
        <v>30</v>
      </c>
      <c r="M532" s="7" t="s">
        <v>848</v>
      </c>
      <c r="N532" s="9" t="s">
        <v>446</v>
      </c>
      <c r="O532" s="9" t="s">
        <v>195</v>
      </c>
      <c r="P532" s="9" t="s">
        <v>34</v>
      </c>
      <c r="Q532" s="10" t="str">
        <f>IF(IDMaster[[#This Row],[Consumption]]="Consumption",IDMaster[[#This Row],[Consumption]],IDMaster[[#This Row],[Basis]])</f>
        <v>Acima Direct</v>
      </c>
      <c r="R532" s="7" t="str">
        <f>IDMaster[[#This Row],[Supported Group]]&amp;"."&amp;IDMaster[[#This Row],[Basis]]</f>
        <v>External Labor.Acima Direct</v>
      </c>
      <c r="S532" s="11">
        <v>0</v>
      </c>
      <c r="T532" s="12">
        <v>1</v>
      </c>
      <c r="U532" s="12">
        <v>0</v>
      </c>
      <c r="V532" s="12">
        <v>0</v>
      </c>
      <c r="W532" s="12">
        <v>0</v>
      </c>
    </row>
    <row r="533" spans="1:23" x14ac:dyDescent="0.35">
      <c r="A533" s="7" t="s">
        <v>23</v>
      </c>
      <c r="B533" s="7" t="s">
        <v>1571</v>
      </c>
      <c r="C533" s="7" t="s">
        <v>536</v>
      </c>
      <c r="D533" s="8">
        <v>300434</v>
      </c>
      <c r="E533" s="7" t="s">
        <v>1526</v>
      </c>
      <c r="F533" s="7" t="s">
        <v>1572</v>
      </c>
      <c r="G533" s="7" t="s">
        <v>72</v>
      </c>
      <c r="H533" s="7" t="s">
        <v>39</v>
      </c>
      <c r="I533" s="7" t="s">
        <v>123</v>
      </c>
      <c r="J533" s="7" t="s">
        <v>62</v>
      </c>
      <c r="K533" s="7" t="s">
        <v>561</v>
      </c>
      <c r="L533" s="7" t="s">
        <v>30</v>
      </c>
      <c r="M533" s="7" t="s">
        <v>1573</v>
      </c>
      <c r="N533" s="9" t="s">
        <v>126</v>
      </c>
      <c r="O533" s="9" t="s">
        <v>538</v>
      </c>
      <c r="P533" s="9" t="s">
        <v>34</v>
      </c>
      <c r="Q533" s="10" t="str">
        <f>IF(IDMaster[[#This Row],[Consumption]]="Consumption",IDMaster[[#This Row],[Consumption]],IDMaster[[#This Row],[Basis]])</f>
        <v>RAC Direct</v>
      </c>
      <c r="R533" s="7" t="str">
        <f>IDMaster[[#This Row],[Supported Group]]&amp;"."&amp;IDMaster[[#This Row],[Basis]]</f>
        <v>RAC.RAC Direct</v>
      </c>
      <c r="S533" s="11">
        <v>1</v>
      </c>
      <c r="T533" s="12">
        <v>0</v>
      </c>
      <c r="U533" s="12">
        <v>0</v>
      </c>
      <c r="V533" s="12">
        <v>0</v>
      </c>
      <c r="W533" s="12">
        <v>0</v>
      </c>
    </row>
    <row r="534" spans="1:23" x14ac:dyDescent="0.35">
      <c r="A534" s="7" t="s">
        <v>23</v>
      </c>
      <c r="B534" s="7" t="s">
        <v>1574</v>
      </c>
      <c r="C534" s="7" t="s">
        <v>536</v>
      </c>
      <c r="D534" s="8">
        <v>300434</v>
      </c>
      <c r="E534" s="7" t="s">
        <v>1575</v>
      </c>
      <c r="F534" s="7" t="s">
        <v>1576</v>
      </c>
      <c r="G534" s="7" t="s">
        <v>72</v>
      </c>
      <c r="H534" s="7" t="s">
        <v>39</v>
      </c>
      <c r="I534" s="7" t="s">
        <v>123</v>
      </c>
      <c r="J534" s="7" t="s">
        <v>62</v>
      </c>
      <c r="K534" s="7" t="s">
        <v>561</v>
      </c>
      <c r="L534" s="7" t="s">
        <v>30</v>
      </c>
      <c r="M534" s="7" t="s">
        <v>1573</v>
      </c>
      <c r="N534" s="9" t="s">
        <v>446</v>
      </c>
      <c r="O534" s="9" t="s">
        <v>195</v>
      </c>
      <c r="P534" s="9" t="s">
        <v>34</v>
      </c>
      <c r="Q534" s="10" t="str">
        <f>IF(IDMaster[[#This Row],[Consumption]]="Consumption",IDMaster[[#This Row],[Consumption]],IDMaster[[#This Row],[Basis]])</f>
        <v>Acima Direct</v>
      </c>
      <c r="R534" s="7" t="str">
        <f>IDMaster[[#This Row],[Supported Group]]&amp;"."&amp;IDMaster[[#This Row],[Basis]]</f>
        <v>External Labor.Acima Direct</v>
      </c>
      <c r="S534" s="11">
        <v>0</v>
      </c>
      <c r="T534" s="12">
        <v>1</v>
      </c>
      <c r="U534" s="12">
        <v>0</v>
      </c>
      <c r="V534" s="12">
        <v>0</v>
      </c>
      <c r="W534" s="12">
        <v>0</v>
      </c>
    </row>
    <row r="535" spans="1:23" x14ac:dyDescent="0.35">
      <c r="A535" s="7" t="s">
        <v>23</v>
      </c>
      <c r="B535" s="7" t="s">
        <v>1577</v>
      </c>
      <c r="C535" s="7" t="s">
        <v>536</v>
      </c>
      <c r="D535" s="8">
        <v>300434</v>
      </c>
      <c r="E535" s="7" t="s">
        <v>559</v>
      </c>
      <c r="F535" s="7" t="s">
        <v>1578</v>
      </c>
      <c r="G535" s="7" t="s">
        <v>72</v>
      </c>
      <c r="H535" s="7" t="s">
        <v>39</v>
      </c>
      <c r="I535" s="7" t="s">
        <v>123</v>
      </c>
      <c r="J535" s="7" t="s">
        <v>62</v>
      </c>
      <c r="K535" s="7" t="s">
        <v>561</v>
      </c>
      <c r="L535" s="7" t="s">
        <v>30</v>
      </c>
      <c r="M535" s="7" t="s">
        <v>1573</v>
      </c>
      <c r="N535" s="9" t="s">
        <v>446</v>
      </c>
      <c r="O535" s="9" t="s">
        <v>195</v>
      </c>
      <c r="P535" s="9" t="s">
        <v>34</v>
      </c>
      <c r="Q535" s="10" t="str">
        <f>IF(IDMaster[[#This Row],[Consumption]]="Consumption",IDMaster[[#This Row],[Consumption]],IDMaster[[#This Row],[Basis]])</f>
        <v>Acima Direct</v>
      </c>
      <c r="R535" s="7" t="str">
        <f>IDMaster[[#This Row],[Supported Group]]&amp;"."&amp;IDMaster[[#This Row],[Basis]]</f>
        <v>External Labor.Acima Direct</v>
      </c>
      <c r="S535" s="11">
        <v>0</v>
      </c>
      <c r="T535" s="12">
        <v>1</v>
      </c>
      <c r="U535" s="12">
        <v>0</v>
      </c>
      <c r="V535" s="12">
        <v>0</v>
      </c>
      <c r="W535" s="12">
        <v>0</v>
      </c>
    </row>
    <row r="536" spans="1:23" x14ac:dyDescent="0.35">
      <c r="A536" s="7" t="s">
        <v>23</v>
      </c>
      <c r="B536" s="7" t="s">
        <v>1579</v>
      </c>
      <c r="C536" s="7" t="s">
        <v>94</v>
      </c>
      <c r="D536" s="8">
        <v>227047</v>
      </c>
      <c r="E536" s="7" t="s">
        <v>95</v>
      </c>
      <c r="F536" s="7" t="s">
        <v>96</v>
      </c>
      <c r="G536" s="7" t="s">
        <v>97</v>
      </c>
      <c r="H536" s="7" t="s">
        <v>39</v>
      </c>
      <c r="I536" s="17" t="s">
        <v>123</v>
      </c>
      <c r="J536" s="7" t="s">
        <v>40</v>
      </c>
      <c r="K536" s="7" t="s">
        <v>80</v>
      </c>
      <c r="L536" s="7" t="s">
        <v>42</v>
      </c>
      <c r="M536" s="7" t="s">
        <v>1580</v>
      </c>
      <c r="N536" s="9" t="s">
        <v>32</v>
      </c>
      <c r="O536" s="9" t="s">
        <v>99</v>
      </c>
      <c r="P536" s="9" t="s">
        <v>34</v>
      </c>
      <c r="Q536" s="10" t="str">
        <f>IF(IDMaster[[#This Row],[Consumption]]="Consumption",IDMaster[[#This Row],[Consumption]],IDMaster[[#This Row],[Basis]])</f>
        <v>Revenue</v>
      </c>
      <c r="R536" s="7" t="str">
        <f>IDMaster[[#This Row],[Supported Group]]&amp;"."&amp;IDMaster[[#This Row],[Basis]]</f>
        <v>Security.Revenue</v>
      </c>
      <c r="S536" s="11">
        <v>0.42185161428265983</v>
      </c>
      <c r="T536" s="12">
        <v>0.57814838571734017</v>
      </c>
      <c r="U536" s="12">
        <v>0</v>
      </c>
      <c r="V536" s="12">
        <v>0</v>
      </c>
      <c r="W536" s="12">
        <v>0</v>
      </c>
    </row>
    <row r="537" spans="1:23" x14ac:dyDescent="0.35">
      <c r="A537" s="7" t="s">
        <v>23</v>
      </c>
      <c r="B537" s="7" t="s">
        <v>1581</v>
      </c>
      <c r="C537" s="7" t="s">
        <v>1582</v>
      </c>
      <c r="D537" s="8">
        <v>298915</v>
      </c>
      <c r="E537" s="7" t="s">
        <v>95</v>
      </c>
      <c r="F537" s="7" t="s">
        <v>1583</v>
      </c>
      <c r="G537" s="7" t="s">
        <v>97</v>
      </c>
      <c r="H537" s="7" t="s">
        <v>39</v>
      </c>
      <c r="I537" s="7" t="s">
        <v>28</v>
      </c>
      <c r="J537" s="7" t="s">
        <v>40</v>
      </c>
      <c r="K537" s="7" t="s">
        <v>41</v>
      </c>
      <c r="L537" s="7" t="s">
        <v>42</v>
      </c>
      <c r="M537" s="7" t="s">
        <v>43</v>
      </c>
      <c r="N537" s="9" t="s">
        <v>32</v>
      </c>
      <c r="O537" s="9" t="s">
        <v>99</v>
      </c>
      <c r="P537" s="9" t="s">
        <v>34</v>
      </c>
      <c r="Q537" s="10" t="str">
        <f>IF(IDMaster[[#This Row],[Consumption]]="Consumption",IDMaster[[#This Row],[Consumption]],IDMaster[[#This Row],[Basis]])</f>
        <v>Revenue</v>
      </c>
      <c r="R537" s="7" t="str">
        <f>IDMaster[[#This Row],[Supported Group]]&amp;"."&amp;IDMaster[[#This Row],[Basis]]</f>
        <v>Security.Revenue</v>
      </c>
      <c r="S537" s="11">
        <v>0.42185161428265983</v>
      </c>
      <c r="T537" s="12">
        <v>0.57814838571734017</v>
      </c>
      <c r="U537" s="12">
        <v>0</v>
      </c>
      <c r="V537" s="12">
        <v>0</v>
      </c>
      <c r="W537" s="12">
        <v>0</v>
      </c>
    </row>
    <row r="538" spans="1:23" x14ac:dyDescent="0.35">
      <c r="A538" s="7" t="s">
        <v>23</v>
      </c>
      <c r="B538" s="7" t="s">
        <v>1584</v>
      </c>
      <c r="C538" s="7" t="s">
        <v>1582</v>
      </c>
      <c r="D538" s="8">
        <v>298915</v>
      </c>
      <c r="E538" s="7" t="s">
        <v>95</v>
      </c>
      <c r="F538" s="7" t="s">
        <v>1585</v>
      </c>
      <c r="G538" s="7" t="s">
        <v>97</v>
      </c>
      <c r="H538" s="7" t="s">
        <v>39</v>
      </c>
      <c r="I538" s="7" t="s">
        <v>28</v>
      </c>
      <c r="J538" s="7" t="s">
        <v>40</v>
      </c>
      <c r="K538" s="7" t="s">
        <v>80</v>
      </c>
      <c r="L538" s="7" t="s">
        <v>42</v>
      </c>
      <c r="M538" s="7" t="s">
        <v>1586</v>
      </c>
      <c r="N538" s="9" t="s">
        <v>32</v>
      </c>
      <c r="O538" s="9" t="s">
        <v>99</v>
      </c>
      <c r="P538" s="9" t="s">
        <v>34</v>
      </c>
      <c r="Q538" s="10" t="str">
        <f>IF(IDMaster[[#This Row],[Consumption]]="Consumption",IDMaster[[#This Row],[Consumption]],IDMaster[[#This Row],[Basis]])</f>
        <v>Revenue</v>
      </c>
      <c r="R538" s="7" t="str">
        <f>IDMaster[[#This Row],[Supported Group]]&amp;"."&amp;IDMaster[[#This Row],[Basis]]</f>
        <v>Security.Revenue</v>
      </c>
      <c r="S538" s="11">
        <v>0.42185161428265983</v>
      </c>
      <c r="T538" s="12">
        <v>0.57814838571734017</v>
      </c>
      <c r="U538" s="12">
        <v>0</v>
      </c>
      <c r="V538" s="12">
        <v>0</v>
      </c>
      <c r="W538" s="12">
        <v>0</v>
      </c>
    </row>
    <row r="539" spans="1:23" x14ac:dyDescent="0.35">
      <c r="A539" s="7" t="s">
        <v>23</v>
      </c>
      <c r="B539" s="7" t="s">
        <v>1587</v>
      </c>
      <c r="C539" s="15" t="s">
        <v>329</v>
      </c>
      <c r="D539" s="8">
        <v>207712</v>
      </c>
      <c r="E539" s="7" t="s">
        <v>95</v>
      </c>
      <c r="F539" s="7" t="s">
        <v>1588</v>
      </c>
      <c r="G539" s="7" t="s">
        <v>97</v>
      </c>
      <c r="H539" s="7" t="s">
        <v>39</v>
      </c>
      <c r="I539" s="17" t="s">
        <v>123</v>
      </c>
      <c r="J539" s="7" t="s">
        <v>40</v>
      </c>
      <c r="K539" s="7" t="s">
        <v>80</v>
      </c>
      <c r="L539" s="7" t="s">
        <v>42</v>
      </c>
      <c r="M539" s="7" t="s">
        <v>1589</v>
      </c>
      <c r="N539" s="9" t="s">
        <v>32</v>
      </c>
      <c r="O539" s="9" t="s">
        <v>99</v>
      </c>
      <c r="P539" s="9" t="s">
        <v>34</v>
      </c>
      <c r="Q539" s="10" t="str">
        <f>IF(IDMaster[[#This Row],[Consumption]]="Consumption",IDMaster[[#This Row],[Consumption]],IDMaster[[#This Row],[Basis]])</f>
        <v>Revenue</v>
      </c>
      <c r="R539" s="7" t="str">
        <f>IDMaster[[#This Row],[Supported Group]]&amp;"."&amp;IDMaster[[#This Row],[Basis]]</f>
        <v>Security.Revenue</v>
      </c>
      <c r="S539" s="11">
        <v>0.42185161428265983</v>
      </c>
      <c r="T539" s="12">
        <v>0.57814838571734017</v>
      </c>
      <c r="U539" s="12">
        <v>0</v>
      </c>
      <c r="V539" s="12">
        <v>0</v>
      </c>
      <c r="W539" s="12">
        <v>0</v>
      </c>
    </row>
    <row r="540" spans="1:23" x14ac:dyDescent="0.35">
      <c r="A540" s="7" t="s">
        <v>23</v>
      </c>
      <c r="B540" s="7" t="s">
        <v>1590</v>
      </c>
      <c r="C540" s="7" t="s">
        <v>329</v>
      </c>
      <c r="D540" s="8">
        <v>207712</v>
      </c>
      <c r="E540" s="7" t="s">
        <v>95</v>
      </c>
      <c r="F540" s="7" t="s">
        <v>1591</v>
      </c>
      <c r="G540" s="7" t="s">
        <v>72</v>
      </c>
      <c r="H540" s="7" t="s">
        <v>39</v>
      </c>
      <c r="I540" s="7" t="s">
        <v>28</v>
      </c>
      <c r="J540" s="7" t="s">
        <v>40</v>
      </c>
      <c r="K540" s="7" t="s">
        <v>80</v>
      </c>
      <c r="L540" s="7" t="s">
        <v>42</v>
      </c>
      <c r="M540" s="7" t="s">
        <v>43</v>
      </c>
      <c r="N540" s="9" t="s">
        <v>32</v>
      </c>
      <c r="O540" s="9" t="s">
        <v>99</v>
      </c>
      <c r="P540" s="9" t="s">
        <v>34</v>
      </c>
      <c r="Q540" s="10" t="str">
        <f>IF(IDMaster[[#This Row],[Consumption]]="Consumption",IDMaster[[#This Row],[Consumption]],IDMaster[[#This Row],[Basis]])</f>
        <v>Revenue</v>
      </c>
      <c r="R540" s="7" t="str">
        <f>IDMaster[[#This Row],[Supported Group]]&amp;"."&amp;IDMaster[[#This Row],[Basis]]</f>
        <v>Security.Revenue</v>
      </c>
      <c r="S540" s="11">
        <v>0.42185161428265983</v>
      </c>
      <c r="T540" s="12">
        <v>0.57814838571734017</v>
      </c>
      <c r="U540" s="12">
        <v>0</v>
      </c>
      <c r="V540" s="12">
        <v>0</v>
      </c>
      <c r="W540" s="12">
        <v>0</v>
      </c>
    </row>
    <row r="541" spans="1:23" x14ac:dyDescent="0.35">
      <c r="A541" s="7" t="s">
        <v>23</v>
      </c>
      <c r="B541" s="7" t="s">
        <v>1592</v>
      </c>
      <c r="C541" s="7" t="s">
        <v>377</v>
      </c>
      <c r="D541" s="8">
        <v>320074</v>
      </c>
      <c r="E541" s="7" t="s">
        <v>95</v>
      </c>
      <c r="F541" s="7" t="s">
        <v>1593</v>
      </c>
      <c r="G541" s="7" t="s">
        <v>97</v>
      </c>
      <c r="H541" s="7" t="s">
        <v>39</v>
      </c>
      <c r="I541" s="17" t="s">
        <v>123</v>
      </c>
      <c r="J541" s="7" t="s">
        <v>40</v>
      </c>
      <c r="K541" s="7" t="s">
        <v>80</v>
      </c>
      <c r="L541" s="7" t="s">
        <v>42</v>
      </c>
      <c r="M541" s="7" t="s">
        <v>1594</v>
      </c>
      <c r="N541" s="9" t="s">
        <v>32</v>
      </c>
      <c r="O541" s="9" t="s">
        <v>99</v>
      </c>
      <c r="P541" s="9" t="s">
        <v>34</v>
      </c>
      <c r="Q541" s="10" t="str">
        <f>IF(IDMaster[[#This Row],[Consumption]]="Consumption",IDMaster[[#This Row],[Consumption]],IDMaster[[#This Row],[Basis]])</f>
        <v>Revenue</v>
      </c>
      <c r="R541" s="7" t="str">
        <f>IDMaster[[#This Row],[Supported Group]]&amp;"."&amp;IDMaster[[#This Row],[Basis]]</f>
        <v>Security.Revenue</v>
      </c>
      <c r="S541" s="11">
        <v>0.42185161428265983</v>
      </c>
      <c r="T541" s="12">
        <v>0.57814838571734017</v>
      </c>
      <c r="U541" s="12">
        <v>0</v>
      </c>
      <c r="V541" s="12">
        <v>0</v>
      </c>
      <c r="W541" s="12">
        <v>0</v>
      </c>
    </row>
    <row r="542" spans="1:23" x14ac:dyDescent="0.35">
      <c r="A542" s="7" t="s">
        <v>23</v>
      </c>
      <c r="B542" s="7" t="s">
        <v>1595</v>
      </c>
      <c r="C542" s="7" t="s">
        <v>377</v>
      </c>
      <c r="D542" s="8">
        <v>320074</v>
      </c>
      <c r="E542" s="7" t="s">
        <v>95</v>
      </c>
      <c r="F542" s="7" t="s">
        <v>1596</v>
      </c>
      <c r="G542" s="7" t="s">
        <v>97</v>
      </c>
      <c r="H542" s="7" t="s">
        <v>39</v>
      </c>
      <c r="I542" s="17" t="s">
        <v>123</v>
      </c>
      <c r="J542" s="7" t="s">
        <v>40</v>
      </c>
      <c r="K542" s="7" t="s">
        <v>80</v>
      </c>
      <c r="L542" s="7" t="s">
        <v>42</v>
      </c>
      <c r="M542" s="7" t="s">
        <v>1597</v>
      </c>
      <c r="N542" s="9" t="s">
        <v>32</v>
      </c>
      <c r="O542" s="9" t="s">
        <v>99</v>
      </c>
      <c r="P542" s="9" t="s">
        <v>34</v>
      </c>
      <c r="Q542" s="10" t="str">
        <f>IF(IDMaster[[#This Row],[Consumption]]="Consumption",IDMaster[[#This Row],[Consumption]],IDMaster[[#This Row],[Basis]])</f>
        <v>Revenue</v>
      </c>
      <c r="R542" s="7" t="str">
        <f>IDMaster[[#This Row],[Supported Group]]&amp;"."&amp;IDMaster[[#This Row],[Basis]]</f>
        <v>Security.Revenue</v>
      </c>
      <c r="S542" s="11">
        <v>0.42185161428265983</v>
      </c>
      <c r="T542" s="12">
        <v>0.57814838571734017</v>
      </c>
      <c r="U542" s="12">
        <v>0</v>
      </c>
      <c r="V542" s="12">
        <v>0</v>
      </c>
      <c r="W542" s="12">
        <v>0</v>
      </c>
    </row>
    <row r="543" spans="1:23" x14ac:dyDescent="0.35">
      <c r="A543" s="7" t="s">
        <v>23</v>
      </c>
      <c r="B543" s="7" t="s">
        <v>1598</v>
      </c>
      <c r="C543" s="7" t="s">
        <v>329</v>
      </c>
      <c r="D543" s="8">
        <v>207712</v>
      </c>
      <c r="E543" s="7" t="s">
        <v>95</v>
      </c>
      <c r="F543" s="7" t="s">
        <v>1591</v>
      </c>
      <c r="G543" s="7" t="s">
        <v>97</v>
      </c>
      <c r="H543" s="7" t="s">
        <v>39</v>
      </c>
      <c r="I543" s="17" t="s">
        <v>123</v>
      </c>
      <c r="J543" s="7" t="s">
        <v>40</v>
      </c>
      <c r="K543" s="7" t="s">
        <v>80</v>
      </c>
      <c r="L543" s="7" t="s">
        <v>42</v>
      </c>
      <c r="M543" s="7" t="s">
        <v>1599</v>
      </c>
      <c r="N543" s="9" t="s">
        <v>32</v>
      </c>
      <c r="O543" s="9" t="s">
        <v>99</v>
      </c>
      <c r="P543" s="9" t="s">
        <v>34</v>
      </c>
      <c r="Q543" s="10" t="str">
        <f>IF(IDMaster[[#This Row],[Consumption]]="Consumption",IDMaster[[#This Row],[Consumption]],IDMaster[[#This Row],[Basis]])</f>
        <v>Revenue</v>
      </c>
      <c r="R543" s="7" t="str">
        <f>IDMaster[[#This Row],[Supported Group]]&amp;"."&amp;IDMaster[[#This Row],[Basis]]</f>
        <v>Security.Revenue</v>
      </c>
      <c r="S543" s="11">
        <v>0.42185161428265983</v>
      </c>
      <c r="T543" s="12">
        <v>0.57814838571734017</v>
      </c>
      <c r="U543" s="12">
        <v>0</v>
      </c>
      <c r="V543" s="12">
        <v>0</v>
      </c>
      <c r="W543" s="12">
        <v>0</v>
      </c>
    </row>
    <row r="544" spans="1:23" x14ac:dyDescent="0.35">
      <c r="A544" s="7" t="s">
        <v>23</v>
      </c>
      <c r="B544" s="7" t="s">
        <v>1600</v>
      </c>
      <c r="C544" s="7" t="s">
        <v>1601</v>
      </c>
      <c r="D544" s="8">
        <v>292733</v>
      </c>
      <c r="E544" s="7" t="s">
        <v>46</v>
      </c>
      <c r="F544" s="7" t="s">
        <v>1602</v>
      </c>
      <c r="G544" s="7" t="s">
        <v>48</v>
      </c>
      <c r="H544" s="7" t="s">
        <v>39</v>
      </c>
      <c r="I544" s="7" t="s">
        <v>123</v>
      </c>
      <c r="J544" s="7" t="s">
        <v>625</v>
      </c>
      <c r="K544" s="7" t="s">
        <v>29</v>
      </c>
      <c r="L544" s="7" t="s">
        <v>30</v>
      </c>
      <c r="M544" s="7" t="s">
        <v>1603</v>
      </c>
      <c r="N544" s="9" t="s">
        <v>126</v>
      </c>
      <c r="O544" s="9" t="s">
        <v>51</v>
      </c>
      <c r="P544" s="9" t="s">
        <v>34</v>
      </c>
      <c r="Q544" s="10" t="str">
        <f>IF(IDMaster[[#This Row],[Consumption]]="Consumption",IDMaster[[#This Row],[Consumption]],IDMaster[[#This Row],[Basis]])</f>
        <v>RAC Direct</v>
      </c>
      <c r="R544" s="7" t="str">
        <f>IDMaster[[#This Row],[Supported Group]]&amp;"."&amp;IDMaster[[#This Row],[Basis]]</f>
        <v>IT Infrastructure.RAC Direct</v>
      </c>
      <c r="S544" s="11">
        <v>1</v>
      </c>
      <c r="T544" s="12">
        <v>0</v>
      </c>
      <c r="U544" s="12">
        <v>0</v>
      </c>
      <c r="V544" s="12">
        <v>0</v>
      </c>
      <c r="W544" s="12">
        <v>0</v>
      </c>
    </row>
    <row r="545" spans="1:23" x14ac:dyDescent="0.35">
      <c r="A545" s="7" t="s">
        <v>23</v>
      </c>
      <c r="B545" s="7" t="s">
        <v>1604</v>
      </c>
      <c r="C545" s="7" t="s">
        <v>1605</v>
      </c>
      <c r="D545" s="8">
        <v>268255</v>
      </c>
      <c r="E545" s="7" t="s">
        <v>559</v>
      </c>
      <c r="F545" s="7" t="s">
        <v>1606</v>
      </c>
      <c r="G545" s="7" t="s">
        <v>48</v>
      </c>
      <c r="H545" s="7" t="s">
        <v>39</v>
      </c>
      <c r="I545" s="7" t="s">
        <v>123</v>
      </c>
      <c r="J545" s="7" t="s">
        <v>267</v>
      </c>
      <c r="K545" s="7" t="s">
        <v>80</v>
      </c>
      <c r="L545" s="7" t="s">
        <v>42</v>
      </c>
      <c r="M545" s="7" t="s">
        <v>1607</v>
      </c>
      <c r="N545" s="9" t="s">
        <v>692</v>
      </c>
      <c r="O545" s="9" t="s">
        <v>51</v>
      </c>
      <c r="P545" s="9" t="s">
        <v>34</v>
      </c>
      <c r="Q545" s="10" t="str">
        <f>IF(IDMaster[[#This Row],[Consumption]]="Consumption",IDMaster[[#This Row],[Consumption]],IDMaster[[#This Row],[Basis]])</f>
        <v>Store Count</v>
      </c>
      <c r="R545" s="7" t="str">
        <f>IDMaster[[#This Row],[Supported Group]]&amp;"."&amp;IDMaster[[#This Row],[Basis]]</f>
        <v>IT Infrastructure.Store Count</v>
      </c>
      <c r="S545" s="11">
        <v>0.7087214225232854</v>
      </c>
      <c r="T545" s="12">
        <v>0.29127857747671465</v>
      </c>
      <c r="U545" s="12">
        <v>0</v>
      </c>
      <c r="V545" s="12">
        <v>0</v>
      </c>
      <c r="W545" s="12">
        <v>0</v>
      </c>
    </row>
    <row r="546" spans="1:23" x14ac:dyDescent="0.35">
      <c r="A546" s="7" t="s">
        <v>23</v>
      </c>
      <c r="B546" s="7" t="s">
        <v>1608</v>
      </c>
      <c r="C546" s="7" t="s">
        <v>1609</v>
      </c>
      <c r="D546" s="8">
        <v>288911</v>
      </c>
      <c r="E546" s="7" t="s">
        <v>559</v>
      </c>
      <c r="F546" s="7" t="s">
        <v>1610</v>
      </c>
      <c r="G546" s="7" t="s">
        <v>48</v>
      </c>
      <c r="H546" s="7" t="s">
        <v>39</v>
      </c>
      <c r="I546" s="7" t="s">
        <v>123</v>
      </c>
      <c r="J546" s="7" t="s">
        <v>40</v>
      </c>
      <c r="K546" s="7" t="s">
        <v>80</v>
      </c>
      <c r="L546" s="7" t="s">
        <v>42</v>
      </c>
      <c r="M546" s="7" t="s">
        <v>1610</v>
      </c>
      <c r="N546" s="9" t="s">
        <v>126</v>
      </c>
      <c r="O546" s="9" t="s">
        <v>81</v>
      </c>
      <c r="P546" s="9" t="s">
        <v>34</v>
      </c>
      <c r="Q546" s="10" t="str">
        <f>IF(IDMaster[[#This Row],[Consumption]]="Consumption",IDMaster[[#This Row],[Consumption]],IDMaster[[#This Row],[Basis]])</f>
        <v>RAC Direct</v>
      </c>
      <c r="R546" s="7" t="str">
        <f>IDMaster[[#This Row],[Supported Group]]&amp;"."&amp;IDMaster[[#This Row],[Basis]]</f>
        <v>Data.RAC Direct</v>
      </c>
      <c r="S546" s="11">
        <v>1</v>
      </c>
      <c r="T546" s="12">
        <v>0</v>
      </c>
      <c r="U546" s="12">
        <v>0</v>
      </c>
      <c r="V546" s="12">
        <v>0</v>
      </c>
      <c r="W546" s="12">
        <v>0</v>
      </c>
    </row>
    <row r="547" spans="1:23" x14ac:dyDescent="0.35">
      <c r="A547" s="7" t="s">
        <v>23</v>
      </c>
      <c r="B547" s="7" t="s">
        <v>1611</v>
      </c>
      <c r="C547" s="7" t="s">
        <v>1612</v>
      </c>
      <c r="D547" s="8">
        <v>214039</v>
      </c>
      <c r="E547" s="7" t="s">
        <v>70</v>
      </c>
      <c r="F547" s="7" t="s">
        <v>1613</v>
      </c>
      <c r="G547" s="7" t="s">
        <v>72</v>
      </c>
      <c r="H547" s="7" t="s">
        <v>39</v>
      </c>
      <c r="I547" s="7" t="s">
        <v>123</v>
      </c>
      <c r="J547" s="7" t="s">
        <v>40</v>
      </c>
      <c r="K547" s="7" t="s">
        <v>41</v>
      </c>
      <c r="L547" s="7" t="s">
        <v>42</v>
      </c>
      <c r="M547" s="7" t="s">
        <v>43</v>
      </c>
      <c r="N547" s="9" t="s">
        <v>126</v>
      </c>
      <c r="O547" s="9" t="s">
        <v>538</v>
      </c>
      <c r="P547" s="9" t="s">
        <v>34</v>
      </c>
      <c r="Q547" s="10" t="str">
        <f>IF(IDMaster[[#This Row],[Consumption]]="Consumption",IDMaster[[#This Row],[Consumption]],IDMaster[[#This Row],[Basis]])</f>
        <v>RAC Direct</v>
      </c>
      <c r="R547" s="7" t="str">
        <f>IDMaster[[#This Row],[Supported Group]]&amp;"."&amp;IDMaster[[#This Row],[Basis]]</f>
        <v>RAC.RAC Direct</v>
      </c>
      <c r="S547" s="11">
        <v>1</v>
      </c>
      <c r="T547" s="12">
        <v>0</v>
      </c>
      <c r="U547" s="12">
        <v>0</v>
      </c>
      <c r="V547" s="12">
        <v>0</v>
      </c>
      <c r="W547" s="12">
        <v>0</v>
      </c>
    </row>
    <row r="548" spans="1:23" x14ac:dyDescent="0.35">
      <c r="A548" s="7" t="s">
        <v>23</v>
      </c>
      <c r="B548" s="7" t="s">
        <v>1614</v>
      </c>
      <c r="C548" s="15" t="s">
        <v>1615</v>
      </c>
      <c r="D548" s="8">
        <v>294797</v>
      </c>
      <c r="E548" s="7" t="s">
        <v>227</v>
      </c>
      <c r="F548" s="7" t="s">
        <v>1615</v>
      </c>
      <c r="G548" s="7" t="s">
        <v>72</v>
      </c>
      <c r="H548" s="7" t="s">
        <v>39</v>
      </c>
      <c r="I548" s="7" t="s">
        <v>28</v>
      </c>
      <c r="J548" s="7" t="s">
        <v>40</v>
      </c>
      <c r="K548" s="7" t="s">
        <v>80</v>
      </c>
      <c r="L548" s="7" t="s">
        <v>42</v>
      </c>
      <c r="M548" s="7" t="s">
        <v>43</v>
      </c>
      <c r="N548" s="9" t="s">
        <v>32</v>
      </c>
      <c r="O548" s="9" t="s">
        <v>33</v>
      </c>
      <c r="P548" s="9" t="s">
        <v>34</v>
      </c>
      <c r="Q548" s="10" t="str">
        <f>IF(IDMaster[[#This Row],[Consumption]]="Consumption",IDMaster[[#This Row],[Consumption]],IDMaster[[#This Row],[Basis]])</f>
        <v>Revenue</v>
      </c>
      <c r="R548" s="7" t="str">
        <f>IDMaster[[#This Row],[Supported Group]]&amp;"."&amp;IDMaster[[#This Row],[Basis]]</f>
        <v>IT Tools.Revenue</v>
      </c>
      <c r="S548" s="11">
        <v>0.42185161428265983</v>
      </c>
      <c r="T548" s="12">
        <v>0.57814838571734017</v>
      </c>
      <c r="U548" s="12">
        <v>0</v>
      </c>
      <c r="V548" s="12">
        <v>0</v>
      </c>
      <c r="W548" s="12">
        <v>0</v>
      </c>
    </row>
    <row r="549" spans="1:23" x14ac:dyDescent="0.35">
      <c r="A549" s="7" t="s">
        <v>23</v>
      </c>
      <c r="B549" s="7" t="s">
        <v>1616</v>
      </c>
      <c r="C549" s="7" t="s">
        <v>1617</v>
      </c>
      <c r="D549" s="8">
        <v>168618</v>
      </c>
      <c r="E549" s="7" t="s">
        <v>1618</v>
      </c>
      <c r="F549" s="7" t="s">
        <v>1619</v>
      </c>
      <c r="G549" s="7" t="s">
        <v>72</v>
      </c>
      <c r="H549" s="7" t="s">
        <v>39</v>
      </c>
      <c r="I549" s="7" t="s">
        <v>123</v>
      </c>
      <c r="J549" s="7" t="s">
        <v>40</v>
      </c>
      <c r="K549" s="7" t="s">
        <v>80</v>
      </c>
      <c r="L549" s="7" t="s">
        <v>42</v>
      </c>
      <c r="M549" s="7" t="s">
        <v>1620</v>
      </c>
      <c r="N549" s="9" t="s">
        <v>692</v>
      </c>
      <c r="O549" s="9" t="s">
        <v>538</v>
      </c>
      <c r="P549" s="9" t="s">
        <v>34</v>
      </c>
      <c r="Q549" s="10" t="str">
        <f>IF(IDMaster[[#This Row],[Consumption]]="Consumption",IDMaster[[#This Row],[Consumption]],IDMaster[[#This Row],[Basis]])</f>
        <v>Store Count</v>
      </c>
      <c r="R549" s="7" t="str">
        <f>IDMaster[[#This Row],[Supported Group]]&amp;"."&amp;IDMaster[[#This Row],[Basis]]</f>
        <v>RAC.Store Count</v>
      </c>
      <c r="S549" s="11">
        <v>0.7087214225232854</v>
      </c>
      <c r="T549" s="12">
        <v>0.29127857747671465</v>
      </c>
      <c r="U549" s="12">
        <v>0</v>
      </c>
      <c r="V549" s="12">
        <v>0</v>
      </c>
      <c r="W549" s="12">
        <v>0</v>
      </c>
    </row>
    <row r="550" spans="1:23" x14ac:dyDescent="0.35">
      <c r="A550" s="7" t="s">
        <v>23</v>
      </c>
      <c r="B550" s="7" t="s">
        <v>1621</v>
      </c>
      <c r="C550" s="15" t="s">
        <v>1622</v>
      </c>
      <c r="D550" s="8">
        <v>282130</v>
      </c>
      <c r="E550" s="7" t="s">
        <v>227</v>
      </c>
      <c r="F550" s="7" t="s">
        <v>1623</v>
      </c>
      <c r="G550" s="7" t="s">
        <v>48</v>
      </c>
      <c r="H550" s="7" t="s">
        <v>39</v>
      </c>
      <c r="I550" s="7" t="s">
        <v>123</v>
      </c>
      <c r="J550" s="7" t="s">
        <v>40</v>
      </c>
      <c r="K550" s="7" t="s">
        <v>80</v>
      </c>
      <c r="L550" s="7" t="s">
        <v>42</v>
      </c>
      <c r="M550" s="7" t="s">
        <v>1624</v>
      </c>
      <c r="N550" s="9" t="s">
        <v>126</v>
      </c>
      <c r="O550" s="9" t="s">
        <v>538</v>
      </c>
      <c r="P550" s="9" t="s">
        <v>34</v>
      </c>
      <c r="Q550" s="10" t="str">
        <f>IF(IDMaster[[#This Row],[Consumption]]="Consumption",IDMaster[[#This Row],[Consumption]],IDMaster[[#This Row],[Basis]])</f>
        <v>RAC Direct</v>
      </c>
      <c r="R550" s="7" t="str">
        <f>IDMaster[[#This Row],[Supported Group]]&amp;"."&amp;IDMaster[[#This Row],[Basis]]</f>
        <v>RAC.RAC Direct</v>
      </c>
      <c r="S550" s="11">
        <v>1</v>
      </c>
      <c r="T550" s="12">
        <v>0</v>
      </c>
      <c r="U550" s="12">
        <v>0</v>
      </c>
      <c r="V550" s="12">
        <v>0</v>
      </c>
      <c r="W550" s="12">
        <v>0</v>
      </c>
    </row>
    <row r="551" spans="1:23" x14ac:dyDescent="0.35">
      <c r="A551" s="7" t="s">
        <v>23</v>
      </c>
      <c r="B551" s="7" t="s">
        <v>1625</v>
      </c>
      <c r="C551" s="7" t="s">
        <v>1622</v>
      </c>
      <c r="D551" s="8">
        <v>282130</v>
      </c>
      <c r="E551" s="7" t="s">
        <v>227</v>
      </c>
      <c r="F551" s="7" t="s">
        <v>1623</v>
      </c>
      <c r="G551" s="7" t="s">
        <v>48</v>
      </c>
      <c r="H551" s="7" t="s">
        <v>39</v>
      </c>
      <c r="I551" s="7" t="s">
        <v>123</v>
      </c>
      <c r="J551" s="7" t="s">
        <v>40</v>
      </c>
      <c r="K551" s="7" t="s">
        <v>80</v>
      </c>
      <c r="L551" s="7" t="s">
        <v>42</v>
      </c>
      <c r="M551" s="7" t="s">
        <v>1624</v>
      </c>
      <c r="N551" s="9" t="s">
        <v>126</v>
      </c>
      <c r="O551" s="9" t="s">
        <v>538</v>
      </c>
      <c r="P551" s="9" t="s">
        <v>34</v>
      </c>
      <c r="Q551" s="10" t="str">
        <f>IF(IDMaster[[#This Row],[Consumption]]="Consumption",IDMaster[[#This Row],[Consumption]],IDMaster[[#This Row],[Basis]])</f>
        <v>RAC Direct</v>
      </c>
      <c r="R551" s="7" t="str">
        <f>IDMaster[[#This Row],[Supported Group]]&amp;"."&amp;IDMaster[[#This Row],[Basis]]</f>
        <v>RAC.RAC Direct</v>
      </c>
      <c r="S551" s="11">
        <v>1</v>
      </c>
      <c r="T551" s="12">
        <v>0</v>
      </c>
      <c r="U551" s="12">
        <v>0</v>
      </c>
      <c r="V551" s="12">
        <v>0</v>
      </c>
      <c r="W551" s="12">
        <v>0</v>
      </c>
    </row>
    <row r="552" spans="1:23" x14ac:dyDescent="0.35">
      <c r="A552" s="7" t="s">
        <v>23</v>
      </c>
      <c r="B552" s="7" t="s">
        <v>1626</v>
      </c>
      <c r="C552" s="7" t="s">
        <v>1622</v>
      </c>
      <c r="D552" s="8">
        <v>282130</v>
      </c>
      <c r="E552" s="7" t="s">
        <v>227</v>
      </c>
      <c r="F552" s="7" t="s">
        <v>1623</v>
      </c>
      <c r="G552" s="7" t="s">
        <v>48</v>
      </c>
      <c r="H552" s="7" t="s">
        <v>39</v>
      </c>
      <c r="I552" s="7" t="s">
        <v>123</v>
      </c>
      <c r="J552" s="7" t="s">
        <v>40</v>
      </c>
      <c r="K552" s="7" t="s">
        <v>80</v>
      </c>
      <c r="L552" s="7" t="s">
        <v>42</v>
      </c>
      <c r="M552" s="7" t="s">
        <v>1624</v>
      </c>
      <c r="N552" s="9" t="s">
        <v>126</v>
      </c>
      <c r="O552" s="9" t="s">
        <v>538</v>
      </c>
      <c r="P552" s="9" t="s">
        <v>34</v>
      </c>
      <c r="Q552" s="10" t="str">
        <f>IF(IDMaster[[#This Row],[Consumption]]="Consumption",IDMaster[[#This Row],[Consumption]],IDMaster[[#This Row],[Basis]])</f>
        <v>RAC Direct</v>
      </c>
      <c r="R552" s="7" t="str">
        <f>IDMaster[[#This Row],[Supported Group]]&amp;"."&amp;IDMaster[[#This Row],[Basis]]</f>
        <v>RAC.RAC Direct</v>
      </c>
      <c r="S552" s="11">
        <v>1</v>
      </c>
      <c r="T552" s="12">
        <v>0</v>
      </c>
      <c r="U552" s="12">
        <v>0</v>
      </c>
      <c r="V552" s="12">
        <v>0</v>
      </c>
      <c r="W552" s="12">
        <v>0</v>
      </c>
    </row>
    <row r="553" spans="1:23" x14ac:dyDescent="0.35">
      <c r="A553" s="7" t="s">
        <v>23</v>
      </c>
      <c r="B553" s="7" t="s">
        <v>1627</v>
      </c>
      <c r="C553" s="7" t="s">
        <v>1628</v>
      </c>
      <c r="D553" s="8"/>
      <c r="E553" s="7" t="s">
        <v>584</v>
      </c>
      <c r="F553" s="7" t="s">
        <v>1629</v>
      </c>
      <c r="G553" s="7" t="s">
        <v>72</v>
      </c>
      <c r="H553" s="7" t="s">
        <v>39</v>
      </c>
      <c r="I553" s="7" t="s">
        <v>28</v>
      </c>
      <c r="J553" s="7" t="s">
        <v>40</v>
      </c>
      <c r="K553" s="7" t="s">
        <v>80</v>
      </c>
      <c r="L553" s="7" t="s">
        <v>42</v>
      </c>
      <c r="M553" s="7" t="s">
        <v>1630</v>
      </c>
      <c r="N553" s="9" t="s">
        <v>32</v>
      </c>
      <c r="O553" s="9" t="s">
        <v>44</v>
      </c>
      <c r="P553" s="9" t="s">
        <v>34</v>
      </c>
      <c r="Q553" s="10" t="str">
        <f>IF(IDMaster[[#This Row],[Consumption]]="Consumption",IDMaster[[#This Row],[Consumption]],IDMaster[[#This Row],[Basis]])</f>
        <v>Revenue</v>
      </c>
      <c r="R553" s="7" t="str">
        <f>IDMaster[[#This Row],[Supported Group]]&amp;"."&amp;IDMaster[[#This Row],[Basis]]</f>
        <v>Corporate.Revenue</v>
      </c>
      <c r="S553" s="11">
        <v>0.42185161428265983</v>
      </c>
      <c r="T553" s="12">
        <v>0.57814838571734017</v>
      </c>
      <c r="U553" s="12">
        <v>0</v>
      </c>
      <c r="V553" s="12">
        <v>0</v>
      </c>
      <c r="W553" s="12">
        <v>0</v>
      </c>
    </row>
    <row r="554" spans="1:23" x14ac:dyDescent="0.35">
      <c r="A554" s="7" t="s">
        <v>23</v>
      </c>
      <c r="B554" s="7" t="s">
        <v>1631</v>
      </c>
      <c r="C554" s="7" t="s">
        <v>1632</v>
      </c>
      <c r="D554" s="8">
        <v>192566</v>
      </c>
      <c r="E554" s="7" t="s">
        <v>1243</v>
      </c>
      <c r="F554" s="7" t="s">
        <v>1633</v>
      </c>
      <c r="G554" s="7" t="s">
        <v>72</v>
      </c>
      <c r="H554" s="7" t="s">
        <v>39</v>
      </c>
      <c r="I554" s="7" t="s">
        <v>123</v>
      </c>
      <c r="J554" s="7" t="s">
        <v>40</v>
      </c>
      <c r="K554" s="7" t="s">
        <v>41</v>
      </c>
      <c r="L554" s="7" t="s">
        <v>42</v>
      </c>
      <c r="M554" s="7" t="s">
        <v>1634</v>
      </c>
      <c r="N554" s="9" t="s">
        <v>92</v>
      </c>
      <c r="O554" s="9" t="s">
        <v>1635</v>
      </c>
      <c r="P554" s="14" t="s">
        <v>15</v>
      </c>
      <c r="Q554" s="10" t="str">
        <f>IF(IDMaster[[#This Row],[Consumption]]="Consumption",IDMaster[[#This Row],[Consumption]],IDMaster[[#This Row],[Basis]])</f>
        <v>Consumption</v>
      </c>
      <c r="R554" s="7" t="str">
        <f>IDMaster[[#This Row],[Supported Group]]&amp;"."&amp;IDMaster[[#This Row],[Basis]]</f>
        <v>HR.Total Headcount</v>
      </c>
      <c r="S554" s="11">
        <v>0.69106036166058238</v>
      </c>
      <c r="T554" s="12">
        <v>0.14347567705238135</v>
      </c>
      <c r="U554" s="12">
        <v>0</v>
      </c>
      <c r="V554" s="12">
        <v>0</v>
      </c>
      <c r="W554" s="12">
        <v>0.16546396128703625</v>
      </c>
    </row>
    <row r="555" spans="1:23" x14ac:dyDescent="0.35">
      <c r="A555" s="7" t="s">
        <v>23</v>
      </c>
      <c r="B555" s="7" t="s">
        <v>1631</v>
      </c>
      <c r="C555" s="7" t="s">
        <v>1632</v>
      </c>
      <c r="D555" s="8"/>
      <c r="E555" s="7" t="s">
        <v>1575</v>
      </c>
      <c r="F555" s="7" t="s">
        <v>1636</v>
      </c>
      <c r="G555" s="7" t="s">
        <v>72</v>
      </c>
      <c r="H555" s="7" t="s">
        <v>39</v>
      </c>
      <c r="I555" s="7" t="s">
        <v>123</v>
      </c>
      <c r="J555" s="7" t="s">
        <v>40</v>
      </c>
      <c r="K555" s="7" t="s">
        <v>80</v>
      </c>
      <c r="L555" s="7" t="s">
        <v>42</v>
      </c>
      <c r="M555" s="7" t="s">
        <v>43</v>
      </c>
      <c r="N555" s="9" t="s">
        <v>92</v>
      </c>
      <c r="O555" s="9" t="s">
        <v>1635</v>
      </c>
      <c r="P555" s="14" t="s">
        <v>15</v>
      </c>
      <c r="Q555" s="10" t="str">
        <f>IF(IDMaster[[#This Row],[Consumption]]="Consumption",IDMaster[[#This Row],[Consumption]],IDMaster[[#This Row],[Basis]])</f>
        <v>Consumption</v>
      </c>
      <c r="R555" s="7" t="str">
        <f>IDMaster[[#This Row],[Supported Group]]&amp;"."&amp;IDMaster[[#This Row],[Basis]]</f>
        <v>HR.Total Headcount</v>
      </c>
      <c r="S555" s="11">
        <v>0.69106036166058238</v>
      </c>
      <c r="T555" s="12">
        <v>0.14347567705238135</v>
      </c>
      <c r="U555" s="12">
        <v>0</v>
      </c>
      <c r="V555" s="12">
        <v>0</v>
      </c>
      <c r="W555" s="12">
        <v>0.16546396128703625</v>
      </c>
    </row>
    <row r="556" spans="1:23" x14ac:dyDescent="0.35">
      <c r="A556" s="7" t="s">
        <v>23</v>
      </c>
      <c r="B556" s="7" t="s">
        <v>1637</v>
      </c>
      <c r="C556" s="7" t="s">
        <v>536</v>
      </c>
      <c r="D556" s="8">
        <v>300434</v>
      </c>
      <c r="E556" s="7" t="s">
        <v>1526</v>
      </c>
      <c r="F556" s="7" t="s">
        <v>1638</v>
      </c>
      <c r="G556" s="7" t="s">
        <v>72</v>
      </c>
      <c r="H556" s="7" t="s">
        <v>39</v>
      </c>
      <c r="I556" s="7" t="s">
        <v>123</v>
      </c>
      <c r="J556" s="7" t="s">
        <v>62</v>
      </c>
      <c r="K556" s="7" t="s">
        <v>561</v>
      </c>
      <c r="L556" s="7" t="s">
        <v>30</v>
      </c>
      <c r="M556" s="7" t="s">
        <v>43</v>
      </c>
      <c r="N556" s="9" t="s">
        <v>446</v>
      </c>
      <c r="O556" s="9" t="s">
        <v>447</v>
      </c>
      <c r="P556" s="9" t="s">
        <v>34</v>
      </c>
      <c r="Q556" s="10" t="str">
        <f>IF(IDMaster[[#This Row],[Consumption]]="Consumption",IDMaster[[#This Row],[Consumption]],IDMaster[[#This Row],[Basis]])</f>
        <v>Acima Direct</v>
      </c>
      <c r="R556" s="7" t="str">
        <f>IDMaster[[#This Row],[Supported Group]]&amp;"."&amp;IDMaster[[#This Row],[Basis]]</f>
        <v>Acima.Acima Direct</v>
      </c>
      <c r="S556" s="11">
        <v>0</v>
      </c>
      <c r="T556" s="12">
        <v>1</v>
      </c>
      <c r="U556" s="12">
        <v>0</v>
      </c>
      <c r="V556" s="12">
        <v>0</v>
      </c>
      <c r="W556" s="12">
        <v>0</v>
      </c>
    </row>
    <row r="557" spans="1:23" x14ac:dyDescent="0.35">
      <c r="A557" s="7" t="s">
        <v>23</v>
      </c>
      <c r="B557" s="7" t="s">
        <v>1637</v>
      </c>
      <c r="C557" s="7" t="s">
        <v>536</v>
      </c>
      <c r="D557" s="8">
        <v>300434</v>
      </c>
      <c r="E557" s="7" t="s">
        <v>1526</v>
      </c>
      <c r="F557" s="7" t="s">
        <v>1639</v>
      </c>
      <c r="G557" s="7" t="s">
        <v>72</v>
      </c>
      <c r="H557" s="7" t="s">
        <v>39</v>
      </c>
      <c r="I557" s="7" t="s">
        <v>123</v>
      </c>
      <c r="J557" s="7" t="s">
        <v>62</v>
      </c>
      <c r="K557" s="7" t="s">
        <v>561</v>
      </c>
      <c r="L557" s="7" t="s">
        <v>30</v>
      </c>
      <c r="M557" s="7" t="s">
        <v>946</v>
      </c>
      <c r="N557" s="9" t="s">
        <v>446</v>
      </c>
      <c r="O557" s="9" t="s">
        <v>447</v>
      </c>
      <c r="P557" s="9" t="s">
        <v>34</v>
      </c>
      <c r="Q557" s="10" t="str">
        <f>IF(IDMaster[[#This Row],[Consumption]]="Consumption",IDMaster[[#This Row],[Consumption]],IDMaster[[#This Row],[Basis]])</f>
        <v>Acima Direct</v>
      </c>
      <c r="R557" s="7" t="str">
        <f>IDMaster[[#This Row],[Supported Group]]&amp;"."&amp;IDMaster[[#This Row],[Basis]]</f>
        <v>Acima.Acima Direct</v>
      </c>
      <c r="S557" s="11">
        <v>0</v>
      </c>
      <c r="T557" s="12">
        <v>1</v>
      </c>
      <c r="U557" s="12">
        <v>0</v>
      </c>
      <c r="V557" s="12">
        <v>0</v>
      </c>
      <c r="W557" s="12">
        <v>0</v>
      </c>
    </row>
    <row r="558" spans="1:23" x14ac:dyDescent="0.35">
      <c r="A558" s="7" t="s">
        <v>23</v>
      </c>
      <c r="B558" s="7" t="s">
        <v>1640</v>
      </c>
      <c r="C558" s="15" t="s">
        <v>329</v>
      </c>
      <c r="D558" s="8">
        <v>207712</v>
      </c>
      <c r="E558" s="7" t="s">
        <v>46</v>
      </c>
      <c r="F558" s="7" t="s">
        <v>1641</v>
      </c>
      <c r="G558" s="7" t="s">
        <v>48</v>
      </c>
      <c r="H558" s="7" t="s">
        <v>39</v>
      </c>
      <c r="I558" s="7" t="s">
        <v>28</v>
      </c>
      <c r="J558" s="7" t="s">
        <v>40</v>
      </c>
      <c r="K558" s="7" t="s">
        <v>80</v>
      </c>
      <c r="L558" s="7" t="s">
        <v>42</v>
      </c>
      <c r="M558" s="7" t="s">
        <v>1642</v>
      </c>
      <c r="N558" s="9" t="s">
        <v>32</v>
      </c>
      <c r="O558" s="9" t="s">
        <v>51</v>
      </c>
      <c r="P558" s="9" t="s">
        <v>34</v>
      </c>
      <c r="Q558" s="10" t="str">
        <f>IF(IDMaster[[#This Row],[Consumption]]="Consumption",IDMaster[[#This Row],[Consumption]],IDMaster[[#This Row],[Basis]])</f>
        <v>Revenue</v>
      </c>
      <c r="R558" s="7" t="str">
        <f>IDMaster[[#This Row],[Supported Group]]&amp;"."&amp;IDMaster[[#This Row],[Basis]]</f>
        <v>IT Infrastructure.Revenue</v>
      </c>
      <c r="S558" s="11">
        <v>0.42185161428265983</v>
      </c>
      <c r="T558" s="12">
        <v>0.57814838571734017</v>
      </c>
      <c r="U558" s="12">
        <v>0</v>
      </c>
      <c r="V558" s="12">
        <v>0</v>
      </c>
      <c r="W558" s="12">
        <v>0</v>
      </c>
    </row>
    <row r="559" spans="1:23" x14ac:dyDescent="0.35">
      <c r="A559" s="7" t="s">
        <v>23</v>
      </c>
      <c r="B559" s="7" t="s">
        <v>1643</v>
      </c>
      <c r="C559" s="15" t="s">
        <v>598</v>
      </c>
      <c r="D559" s="8">
        <v>196781</v>
      </c>
      <c r="E559" s="7" t="s">
        <v>46</v>
      </c>
      <c r="F559" s="7" t="s">
        <v>1644</v>
      </c>
      <c r="G559" s="7" t="s">
        <v>48</v>
      </c>
      <c r="H559" s="7" t="s">
        <v>39</v>
      </c>
      <c r="I559" s="7" t="s">
        <v>123</v>
      </c>
      <c r="J559" s="7" t="s">
        <v>40</v>
      </c>
      <c r="K559" s="7" t="s">
        <v>80</v>
      </c>
      <c r="L559" s="7" t="s">
        <v>42</v>
      </c>
      <c r="M559" s="7" t="s">
        <v>1645</v>
      </c>
      <c r="N559" s="9" t="s">
        <v>692</v>
      </c>
      <c r="O559" s="9" t="s">
        <v>51</v>
      </c>
      <c r="P559" s="9" t="s">
        <v>34</v>
      </c>
      <c r="Q559" s="10" t="str">
        <f>IF(IDMaster[[#This Row],[Consumption]]="Consumption",IDMaster[[#This Row],[Consumption]],IDMaster[[#This Row],[Basis]])</f>
        <v>Store Count</v>
      </c>
      <c r="R559" s="7" t="str">
        <f>IDMaster[[#This Row],[Supported Group]]&amp;"."&amp;IDMaster[[#This Row],[Basis]]</f>
        <v>IT Infrastructure.Store Count</v>
      </c>
      <c r="S559" s="11">
        <v>0.7087214225232854</v>
      </c>
      <c r="T559" s="12">
        <v>0.29127857747671465</v>
      </c>
      <c r="U559" s="12">
        <v>0</v>
      </c>
      <c r="V559" s="12">
        <v>0</v>
      </c>
      <c r="W559" s="12">
        <v>0</v>
      </c>
    </row>
    <row r="560" spans="1:23" x14ac:dyDescent="0.35">
      <c r="A560" s="7" t="s">
        <v>23</v>
      </c>
      <c r="B560" s="7" t="s">
        <v>1646</v>
      </c>
      <c r="C560" s="15" t="s">
        <v>782</v>
      </c>
      <c r="D560" s="8">
        <v>110388</v>
      </c>
      <c r="E560" s="7" t="s">
        <v>260</v>
      </c>
      <c r="F560" s="7" t="s">
        <v>1647</v>
      </c>
      <c r="G560" s="7" t="s">
        <v>48</v>
      </c>
      <c r="H560" s="7" t="s">
        <v>39</v>
      </c>
      <c r="I560" s="7" t="s">
        <v>123</v>
      </c>
      <c r="J560" s="7" t="s">
        <v>625</v>
      </c>
      <c r="K560" s="7" t="s">
        <v>80</v>
      </c>
      <c r="L560" s="7" t="s">
        <v>42</v>
      </c>
      <c r="M560" s="7" t="s">
        <v>1647</v>
      </c>
      <c r="N560" s="9" t="s">
        <v>692</v>
      </c>
      <c r="O560" s="9" t="s">
        <v>51</v>
      </c>
      <c r="P560" s="9" t="s">
        <v>34</v>
      </c>
      <c r="Q560" s="10" t="str">
        <f>IF(IDMaster[[#This Row],[Consumption]]="Consumption",IDMaster[[#This Row],[Consumption]],IDMaster[[#This Row],[Basis]])</f>
        <v>Store Count</v>
      </c>
      <c r="R560" s="7" t="str">
        <f>IDMaster[[#This Row],[Supported Group]]&amp;"."&amp;IDMaster[[#This Row],[Basis]]</f>
        <v>IT Infrastructure.Store Count</v>
      </c>
      <c r="S560" s="11">
        <v>0.7087214225232854</v>
      </c>
      <c r="T560" s="12">
        <v>0.29127857747671465</v>
      </c>
      <c r="U560" s="12">
        <v>0</v>
      </c>
      <c r="V560" s="12">
        <v>0</v>
      </c>
      <c r="W560" s="12">
        <v>0</v>
      </c>
    </row>
    <row r="561" spans="1:23" x14ac:dyDescent="0.35">
      <c r="A561" s="7" t="s">
        <v>23</v>
      </c>
      <c r="B561" s="7" t="s">
        <v>1648</v>
      </c>
      <c r="C561" s="7" t="s">
        <v>1609</v>
      </c>
      <c r="D561" s="8">
        <v>288911</v>
      </c>
      <c r="E561" s="7" t="s">
        <v>46</v>
      </c>
      <c r="F561" s="7" t="s">
        <v>1649</v>
      </c>
      <c r="G561" s="7" t="s">
        <v>48</v>
      </c>
      <c r="H561" s="7" t="s">
        <v>39</v>
      </c>
      <c r="I561" s="7" t="s">
        <v>28</v>
      </c>
      <c r="J561" s="7" t="s">
        <v>40</v>
      </c>
      <c r="K561" s="7" t="s">
        <v>80</v>
      </c>
      <c r="L561" s="7" t="s">
        <v>42</v>
      </c>
      <c r="M561" s="7" t="s">
        <v>1650</v>
      </c>
      <c r="N561" s="9" t="s">
        <v>32</v>
      </c>
      <c r="O561" s="9" t="s">
        <v>81</v>
      </c>
      <c r="P561" s="9" t="s">
        <v>34</v>
      </c>
      <c r="Q561" s="10" t="str">
        <f>IF(IDMaster[[#This Row],[Consumption]]="Consumption",IDMaster[[#This Row],[Consumption]],IDMaster[[#This Row],[Basis]])</f>
        <v>Revenue</v>
      </c>
      <c r="R561" s="7" t="str">
        <f>IDMaster[[#This Row],[Supported Group]]&amp;"."&amp;IDMaster[[#This Row],[Basis]]</f>
        <v>Data.Revenue</v>
      </c>
      <c r="S561" s="11">
        <v>0.42185161428265983</v>
      </c>
      <c r="T561" s="12">
        <v>0.57814838571734017</v>
      </c>
      <c r="U561" s="12">
        <v>0</v>
      </c>
      <c r="V561" s="12">
        <v>0</v>
      </c>
      <c r="W561" s="12">
        <v>0</v>
      </c>
    </row>
    <row r="562" spans="1:23" x14ac:dyDescent="0.35">
      <c r="A562" s="7" t="s">
        <v>23</v>
      </c>
      <c r="B562" s="7" t="s">
        <v>1651</v>
      </c>
      <c r="C562" s="7" t="s">
        <v>1609</v>
      </c>
      <c r="D562" s="8">
        <v>288911</v>
      </c>
      <c r="E562" s="7" t="s">
        <v>46</v>
      </c>
      <c r="F562" s="7" t="s">
        <v>1652</v>
      </c>
      <c r="G562" s="7" t="s">
        <v>48</v>
      </c>
      <c r="H562" s="7" t="s">
        <v>39</v>
      </c>
      <c r="I562" s="7" t="s">
        <v>28</v>
      </c>
      <c r="J562" s="7" t="s">
        <v>40</v>
      </c>
      <c r="K562" s="7" t="s">
        <v>80</v>
      </c>
      <c r="L562" s="7" t="s">
        <v>42</v>
      </c>
      <c r="M562" s="7" t="s">
        <v>1650</v>
      </c>
      <c r="N562" s="9" t="s">
        <v>32</v>
      </c>
      <c r="O562" s="9" t="s">
        <v>81</v>
      </c>
      <c r="P562" s="9" t="s">
        <v>34</v>
      </c>
      <c r="Q562" s="10" t="str">
        <f>IF(IDMaster[[#This Row],[Consumption]]="Consumption",IDMaster[[#This Row],[Consumption]],IDMaster[[#This Row],[Basis]])</f>
        <v>Revenue</v>
      </c>
      <c r="R562" s="7" t="str">
        <f>IDMaster[[#This Row],[Supported Group]]&amp;"."&amp;IDMaster[[#This Row],[Basis]]</f>
        <v>Data.Revenue</v>
      </c>
      <c r="S562" s="11">
        <v>0.42185161428265983</v>
      </c>
      <c r="T562" s="12">
        <v>0.57814838571734017</v>
      </c>
      <c r="U562" s="12">
        <v>0</v>
      </c>
      <c r="V562" s="12">
        <v>0</v>
      </c>
      <c r="W562" s="12">
        <v>0</v>
      </c>
    </row>
    <row r="563" spans="1:23" x14ac:dyDescent="0.35">
      <c r="A563" s="7" t="s">
        <v>23</v>
      </c>
      <c r="B563" s="7" t="s">
        <v>1653</v>
      </c>
      <c r="C563" s="7" t="s">
        <v>335</v>
      </c>
      <c r="D563" s="8">
        <v>233525</v>
      </c>
      <c r="E563" s="7" t="s">
        <v>46</v>
      </c>
      <c r="F563" s="7" t="s">
        <v>1654</v>
      </c>
      <c r="G563" s="7" t="s">
        <v>48</v>
      </c>
      <c r="H563" s="7" t="s">
        <v>39</v>
      </c>
      <c r="I563" s="7" t="s">
        <v>28</v>
      </c>
      <c r="J563" s="7" t="s">
        <v>40</v>
      </c>
      <c r="K563" s="7" t="s">
        <v>80</v>
      </c>
      <c r="L563" s="7" t="s">
        <v>42</v>
      </c>
      <c r="M563" s="7" t="s">
        <v>1655</v>
      </c>
      <c r="N563" s="9" t="s">
        <v>126</v>
      </c>
      <c r="O563" s="9" t="s">
        <v>538</v>
      </c>
      <c r="P563" s="9" t="s">
        <v>34</v>
      </c>
      <c r="Q563" s="10" t="str">
        <f>IF(IDMaster[[#This Row],[Consumption]]="Consumption",IDMaster[[#This Row],[Consumption]],IDMaster[[#This Row],[Basis]])</f>
        <v>RAC Direct</v>
      </c>
      <c r="R563" s="7" t="str">
        <f>IDMaster[[#This Row],[Supported Group]]&amp;"."&amp;IDMaster[[#This Row],[Basis]]</f>
        <v>RAC.RAC Direct</v>
      </c>
      <c r="S563" s="11">
        <v>1</v>
      </c>
      <c r="T563" s="12">
        <v>0</v>
      </c>
      <c r="U563" s="12">
        <v>0</v>
      </c>
      <c r="V563" s="12">
        <v>0</v>
      </c>
      <c r="W563" s="12">
        <v>0</v>
      </c>
    </row>
    <row r="564" spans="1:23" x14ac:dyDescent="0.35">
      <c r="A564" s="7" t="s">
        <v>23</v>
      </c>
      <c r="B564" s="7" t="s">
        <v>1656</v>
      </c>
      <c r="C564" s="7" t="s">
        <v>335</v>
      </c>
      <c r="D564" s="8">
        <v>233525</v>
      </c>
      <c r="E564" s="7" t="s">
        <v>46</v>
      </c>
      <c r="F564" s="7" t="s">
        <v>1654</v>
      </c>
      <c r="G564" s="7" t="s">
        <v>48</v>
      </c>
      <c r="H564" s="7" t="s">
        <v>39</v>
      </c>
      <c r="I564" s="7" t="s">
        <v>28</v>
      </c>
      <c r="J564" s="7" t="s">
        <v>40</v>
      </c>
      <c r="K564" s="7" t="s">
        <v>80</v>
      </c>
      <c r="L564" s="7" t="s">
        <v>42</v>
      </c>
      <c r="M564" s="7" t="s">
        <v>1655</v>
      </c>
      <c r="N564" s="9" t="s">
        <v>126</v>
      </c>
      <c r="O564" s="9" t="s">
        <v>538</v>
      </c>
      <c r="P564" s="9" t="s">
        <v>34</v>
      </c>
      <c r="Q564" s="10" t="str">
        <f>IF(IDMaster[[#This Row],[Consumption]]="Consumption",IDMaster[[#This Row],[Consumption]],IDMaster[[#This Row],[Basis]])</f>
        <v>RAC Direct</v>
      </c>
      <c r="R564" s="7" t="str">
        <f>IDMaster[[#This Row],[Supported Group]]&amp;"."&amp;IDMaster[[#This Row],[Basis]]</f>
        <v>RAC.RAC Direct</v>
      </c>
      <c r="S564" s="11">
        <v>1</v>
      </c>
      <c r="T564" s="12">
        <v>0</v>
      </c>
      <c r="U564" s="12">
        <v>0</v>
      </c>
      <c r="V564" s="12">
        <v>0</v>
      </c>
      <c r="W564" s="12">
        <v>0</v>
      </c>
    </row>
    <row r="565" spans="1:23" x14ac:dyDescent="0.35">
      <c r="A565" s="7" t="s">
        <v>23</v>
      </c>
      <c r="B565" s="7" t="s">
        <v>1657</v>
      </c>
      <c r="C565" s="7" t="s">
        <v>335</v>
      </c>
      <c r="D565" s="8">
        <v>233525</v>
      </c>
      <c r="E565" s="7" t="s">
        <v>46</v>
      </c>
      <c r="F565" s="7" t="s">
        <v>1654</v>
      </c>
      <c r="G565" s="7" t="s">
        <v>48</v>
      </c>
      <c r="H565" s="7" t="s">
        <v>39</v>
      </c>
      <c r="I565" s="7" t="s">
        <v>28</v>
      </c>
      <c r="J565" s="7" t="s">
        <v>625</v>
      </c>
      <c r="K565" s="7" t="s">
        <v>80</v>
      </c>
      <c r="L565" s="7" t="s">
        <v>42</v>
      </c>
      <c r="M565" s="7" t="s">
        <v>1655</v>
      </c>
      <c r="N565" s="9" t="s">
        <v>126</v>
      </c>
      <c r="O565" s="9" t="s">
        <v>538</v>
      </c>
      <c r="P565" s="9" t="s">
        <v>34</v>
      </c>
      <c r="Q565" s="10" t="str">
        <f>IF(IDMaster[[#This Row],[Consumption]]="Consumption",IDMaster[[#This Row],[Consumption]],IDMaster[[#This Row],[Basis]])</f>
        <v>RAC Direct</v>
      </c>
      <c r="R565" s="7" t="str">
        <f>IDMaster[[#This Row],[Supported Group]]&amp;"."&amp;IDMaster[[#This Row],[Basis]]</f>
        <v>RAC.RAC Direct</v>
      </c>
      <c r="S565" s="11">
        <v>1</v>
      </c>
      <c r="T565" s="12">
        <v>0</v>
      </c>
      <c r="U565" s="12">
        <v>0</v>
      </c>
      <c r="V565" s="12">
        <v>0</v>
      </c>
      <c r="W565" s="12">
        <v>0</v>
      </c>
    </row>
    <row r="566" spans="1:23" x14ac:dyDescent="0.35">
      <c r="A566" s="7" t="s">
        <v>23</v>
      </c>
      <c r="B566" s="7" t="s">
        <v>1658</v>
      </c>
      <c r="C566" s="7" t="s">
        <v>335</v>
      </c>
      <c r="D566" s="8">
        <v>233525</v>
      </c>
      <c r="E566" s="7" t="s">
        <v>46</v>
      </c>
      <c r="F566" s="7" t="s">
        <v>1654</v>
      </c>
      <c r="G566" s="7" t="s">
        <v>48</v>
      </c>
      <c r="H566" s="7" t="s">
        <v>39</v>
      </c>
      <c r="I566" s="7" t="s">
        <v>28</v>
      </c>
      <c r="J566" s="7" t="s">
        <v>40</v>
      </c>
      <c r="K566" s="7" t="s">
        <v>80</v>
      </c>
      <c r="L566" s="7" t="s">
        <v>42</v>
      </c>
      <c r="M566" s="7" t="s">
        <v>1655</v>
      </c>
      <c r="N566" s="9" t="s">
        <v>126</v>
      </c>
      <c r="O566" s="9" t="s">
        <v>538</v>
      </c>
      <c r="P566" s="9" t="s">
        <v>34</v>
      </c>
      <c r="Q566" s="10" t="str">
        <f>IF(IDMaster[[#This Row],[Consumption]]="Consumption",IDMaster[[#This Row],[Consumption]],IDMaster[[#This Row],[Basis]])</f>
        <v>RAC Direct</v>
      </c>
      <c r="R566" s="7" t="str">
        <f>IDMaster[[#This Row],[Supported Group]]&amp;"."&amp;IDMaster[[#This Row],[Basis]]</f>
        <v>RAC.RAC Direct</v>
      </c>
      <c r="S566" s="11">
        <v>1</v>
      </c>
      <c r="T566" s="12">
        <v>0</v>
      </c>
      <c r="U566" s="12">
        <v>0</v>
      </c>
      <c r="V566" s="12">
        <v>0</v>
      </c>
      <c r="W566" s="12">
        <v>0</v>
      </c>
    </row>
    <row r="567" spans="1:23" x14ac:dyDescent="0.35">
      <c r="A567" s="7" t="s">
        <v>23</v>
      </c>
      <c r="B567" s="7" t="s">
        <v>1659</v>
      </c>
      <c r="C567" s="7" t="s">
        <v>335</v>
      </c>
      <c r="D567" s="8">
        <v>233525</v>
      </c>
      <c r="E567" s="7" t="s">
        <v>46</v>
      </c>
      <c r="F567" s="7" t="s">
        <v>1654</v>
      </c>
      <c r="G567" s="7" t="s">
        <v>48</v>
      </c>
      <c r="H567" s="7" t="s">
        <v>39</v>
      </c>
      <c r="I567" s="7" t="s">
        <v>28</v>
      </c>
      <c r="J567" s="7" t="s">
        <v>40</v>
      </c>
      <c r="K567" s="7" t="s">
        <v>80</v>
      </c>
      <c r="L567" s="7" t="s">
        <v>42</v>
      </c>
      <c r="M567" s="7" t="s">
        <v>1655</v>
      </c>
      <c r="N567" s="9" t="s">
        <v>32</v>
      </c>
      <c r="O567" s="9" t="s">
        <v>51</v>
      </c>
      <c r="P567" s="9" t="s">
        <v>34</v>
      </c>
      <c r="Q567" s="10" t="str">
        <f>IF(IDMaster[[#This Row],[Consumption]]="Consumption",IDMaster[[#This Row],[Consumption]],IDMaster[[#This Row],[Basis]])</f>
        <v>Revenue</v>
      </c>
      <c r="R567" s="7" t="str">
        <f>IDMaster[[#This Row],[Supported Group]]&amp;"."&amp;IDMaster[[#This Row],[Basis]]</f>
        <v>IT Infrastructure.Revenue</v>
      </c>
      <c r="S567" s="11">
        <v>0.42185161428265983</v>
      </c>
      <c r="T567" s="12">
        <v>0.57814838571734017</v>
      </c>
      <c r="U567" s="12">
        <v>0</v>
      </c>
      <c r="V567" s="12">
        <v>0</v>
      </c>
      <c r="W567" s="12">
        <v>0</v>
      </c>
    </row>
    <row r="568" spans="1:23" x14ac:dyDescent="0.35">
      <c r="A568" s="7" t="s">
        <v>23</v>
      </c>
      <c r="B568" s="7" t="s">
        <v>1660</v>
      </c>
      <c r="C568" s="7" t="s">
        <v>326</v>
      </c>
      <c r="D568" s="8">
        <v>178105</v>
      </c>
      <c r="E568" s="7" t="s">
        <v>260</v>
      </c>
      <c r="F568" s="7" t="s">
        <v>1661</v>
      </c>
      <c r="G568" s="7" t="s">
        <v>48</v>
      </c>
      <c r="H568" s="7" t="s">
        <v>39</v>
      </c>
      <c r="I568" s="7" t="s">
        <v>28</v>
      </c>
      <c r="J568" s="7" t="s">
        <v>40</v>
      </c>
      <c r="K568" s="7" t="s">
        <v>80</v>
      </c>
      <c r="L568" s="7" t="s">
        <v>42</v>
      </c>
      <c r="M568" s="7" t="s">
        <v>43</v>
      </c>
      <c r="N568" s="9" t="s">
        <v>32</v>
      </c>
      <c r="O568" s="9" t="s">
        <v>51</v>
      </c>
      <c r="P568" s="9" t="s">
        <v>34</v>
      </c>
      <c r="Q568" s="10" t="str">
        <f>IF(IDMaster[[#This Row],[Consumption]]="Consumption",IDMaster[[#This Row],[Consumption]],IDMaster[[#This Row],[Basis]])</f>
        <v>Revenue</v>
      </c>
      <c r="R568" s="7" t="str">
        <f>IDMaster[[#This Row],[Supported Group]]&amp;"."&amp;IDMaster[[#This Row],[Basis]]</f>
        <v>IT Infrastructure.Revenue</v>
      </c>
      <c r="S568" s="11">
        <v>0.42185161428265983</v>
      </c>
      <c r="T568" s="12">
        <v>0.57814838571734017</v>
      </c>
      <c r="U568" s="12">
        <v>0</v>
      </c>
      <c r="V568" s="12">
        <v>0</v>
      </c>
      <c r="W568" s="12">
        <v>0</v>
      </c>
    </row>
    <row r="569" spans="1:23" x14ac:dyDescent="0.35">
      <c r="A569" s="7" t="s">
        <v>23</v>
      </c>
      <c r="B569" s="7" t="s">
        <v>1662</v>
      </c>
      <c r="C569" s="7" t="s">
        <v>226</v>
      </c>
      <c r="D569" s="8">
        <v>259622</v>
      </c>
      <c r="E569" s="7" t="s">
        <v>295</v>
      </c>
      <c r="F569" s="7" t="s">
        <v>1663</v>
      </c>
      <c r="G569" s="7" t="s">
        <v>48</v>
      </c>
      <c r="H569" s="7" t="s">
        <v>39</v>
      </c>
      <c r="I569" s="7" t="s">
        <v>28</v>
      </c>
      <c r="J569" s="7" t="s">
        <v>124</v>
      </c>
      <c r="K569" s="7" t="s">
        <v>41</v>
      </c>
      <c r="L569" s="7" t="s">
        <v>42</v>
      </c>
      <c r="M569" s="7" t="s">
        <v>1664</v>
      </c>
      <c r="N569" s="9" t="s">
        <v>92</v>
      </c>
      <c r="O569" s="9" t="s">
        <v>51</v>
      </c>
      <c r="P569" s="9" t="s">
        <v>34</v>
      </c>
      <c r="Q569" s="10" t="str">
        <f>IF(IDMaster[[#This Row],[Consumption]]="Consumption",IDMaster[[#This Row],[Consumption]],IDMaster[[#This Row],[Basis]])</f>
        <v>Total Headcount</v>
      </c>
      <c r="R569" s="7" t="str">
        <f>IDMaster[[#This Row],[Supported Group]]&amp;"."&amp;IDMaster[[#This Row],[Basis]]</f>
        <v>IT Infrastructure.Total Headcount</v>
      </c>
      <c r="S569" s="11">
        <v>0.69106036166058238</v>
      </c>
      <c r="T569" s="12">
        <v>0.14347567705238135</v>
      </c>
      <c r="U569" s="12">
        <v>0</v>
      </c>
      <c r="V569" s="12">
        <v>0</v>
      </c>
      <c r="W569" s="12">
        <v>0.16546396128703625</v>
      </c>
    </row>
    <row r="570" spans="1:23" x14ac:dyDescent="0.35">
      <c r="A570" s="7" t="s">
        <v>23</v>
      </c>
      <c r="B570" s="7" t="s">
        <v>1665</v>
      </c>
      <c r="C570" s="7" t="s">
        <v>326</v>
      </c>
      <c r="D570" s="8">
        <v>178105</v>
      </c>
      <c r="E570" s="7" t="s">
        <v>265</v>
      </c>
      <c r="F570" s="7" t="s">
        <v>1666</v>
      </c>
      <c r="G570" s="7" t="s">
        <v>48</v>
      </c>
      <c r="H570" s="7" t="s">
        <v>39</v>
      </c>
      <c r="I570" s="7" t="s">
        <v>28</v>
      </c>
      <c r="J570" s="7" t="s">
        <v>40</v>
      </c>
      <c r="K570" s="7" t="s">
        <v>80</v>
      </c>
      <c r="L570" s="7" t="s">
        <v>42</v>
      </c>
      <c r="M570" s="7" t="s">
        <v>1667</v>
      </c>
      <c r="N570" s="9" t="s">
        <v>32</v>
      </c>
      <c r="O570" s="9" t="s">
        <v>51</v>
      </c>
      <c r="P570" s="9" t="s">
        <v>34</v>
      </c>
      <c r="Q570" s="10" t="str">
        <f>IF(IDMaster[[#This Row],[Consumption]]="Consumption",IDMaster[[#This Row],[Consumption]],IDMaster[[#This Row],[Basis]])</f>
        <v>Revenue</v>
      </c>
      <c r="R570" s="7" t="str">
        <f>IDMaster[[#This Row],[Supported Group]]&amp;"."&amp;IDMaster[[#This Row],[Basis]]</f>
        <v>IT Infrastructure.Revenue</v>
      </c>
      <c r="S570" s="11">
        <v>0.42185161428265983</v>
      </c>
      <c r="T570" s="12">
        <v>0.57814838571734017</v>
      </c>
      <c r="U570" s="12">
        <v>0</v>
      </c>
      <c r="V570" s="12">
        <v>0</v>
      </c>
      <c r="W570" s="12">
        <v>0</v>
      </c>
    </row>
    <row r="571" spans="1:23" x14ac:dyDescent="0.35">
      <c r="A571" s="7" t="s">
        <v>23</v>
      </c>
      <c r="B571" s="7" t="s">
        <v>1668</v>
      </c>
      <c r="C571" s="7" t="s">
        <v>329</v>
      </c>
      <c r="D571" s="8">
        <v>207712</v>
      </c>
      <c r="E571" s="7" t="s">
        <v>295</v>
      </c>
      <c r="F571" s="7" t="s">
        <v>763</v>
      </c>
      <c r="G571" s="7" t="s">
        <v>48</v>
      </c>
      <c r="H571" s="7" t="s">
        <v>39</v>
      </c>
      <c r="I571" s="7" t="s">
        <v>123</v>
      </c>
      <c r="J571" s="7" t="s">
        <v>40</v>
      </c>
      <c r="K571" s="7" t="s">
        <v>80</v>
      </c>
      <c r="L571" s="7" t="s">
        <v>42</v>
      </c>
      <c r="M571" s="7" t="s">
        <v>43</v>
      </c>
      <c r="N571" s="9" t="s">
        <v>692</v>
      </c>
      <c r="O571" s="9" t="s">
        <v>33</v>
      </c>
      <c r="P571" s="9" t="s">
        <v>34</v>
      </c>
      <c r="Q571" s="10" t="str">
        <f>IF(IDMaster[[#This Row],[Consumption]]="Consumption",IDMaster[[#This Row],[Consumption]],IDMaster[[#This Row],[Basis]])</f>
        <v>Store Count</v>
      </c>
      <c r="R571" s="7" t="str">
        <f>IDMaster[[#This Row],[Supported Group]]&amp;"."&amp;IDMaster[[#This Row],[Basis]]</f>
        <v>IT Tools.Store Count</v>
      </c>
      <c r="S571" s="11">
        <v>0.7087214225232854</v>
      </c>
      <c r="T571" s="12">
        <v>0.29127857747671465</v>
      </c>
      <c r="U571" s="12">
        <v>0</v>
      </c>
      <c r="V571" s="12">
        <v>0</v>
      </c>
      <c r="W571" s="12">
        <v>0</v>
      </c>
    </row>
    <row r="572" spans="1:23" x14ac:dyDescent="0.35">
      <c r="A572" s="7" t="s">
        <v>23</v>
      </c>
      <c r="B572" s="7" t="s">
        <v>1669</v>
      </c>
      <c r="C572" s="7" t="s">
        <v>329</v>
      </c>
      <c r="D572" s="8">
        <v>207712</v>
      </c>
      <c r="E572" s="7" t="s">
        <v>295</v>
      </c>
      <c r="F572" s="7" t="s">
        <v>1670</v>
      </c>
      <c r="G572" s="7" t="s">
        <v>48</v>
      </c>
      <c r="H572" s="7" t="s">
        <v>39</v>
      </c>
      <c r="I572" s="7" t="s">
        <v>28</v>
      </c>
      <c r="J572" s="7" t="s">
        <v>40</v>
      </c>
      <c r="K572" s="7" t="s">
        <v>80</v>
      </c>
      <c r="L572" s="7" t="s">
        <v>42</v>
      </c>
      <c r="M572" s="7" t="s">
        <v>1671</v>
      </c>
      <c r="N572" s="9" t="s">
        <v>32</v>
      </c>
      <c r="O572" s="9" t="s">
        <v>407</v>
      </c>
      <c r="P572" s="9" t="s">
        <v>34</v>
      </c>
      <c r="Q572" s="10" t="str">
        <f>IF(IDMaster[[#This Row],[Consumption]]="Consumption",IDMaster[[#This Row],[Consumption]],IDMaster[[#This Row],[Basis]])</f>
        <v>Revenue</v>
      </c>
      <c r="R572" s="7" t="str">
        <f>IDMaster[[#This Row],[Supported Group]]&amp;"."&amp;IDMaster[[#This Row],[Basis]]</f>
        <v>IT Dev Tools.Revenue</v>
      </c>
      <c r="S572" s="11">
        <v>0.42185161428265983</v>
      </c>
      <c r="T572" s="12">
        <v>0.57814838571734017</v>
      </c>
      <c r="U572" s="12">
        <v>0</v>
      </c>
      <c r="V572" s="12">
        <v>0</v>
      </c>
      <c r="W572" s="12">
        <v>0</v>
      </c>
    </row>
    <row r="573" spans="1:23" x14ac:dyDescent="0.35">
      <c r="A573" s="7" t="s">
        <v>23</v>
      </c>
      <c r="B573" s="7" t="s">
        <v>1672</v>
      </c>
      <c r="C573" s="7" t="s">
        <v>1673</v>
      </c>
      <c r="D573" s="8">
        <v>364486</v>
      </c>
      <c r="E573" s="7" t="s">
        <v>295</v>
      </c>
      <c r="F573" s="7" t="s">
        <v>1674</v>
      </c>
      <c r="G573" s="7" t="s">
        <v>48</v>
      </c>
      <c r="H573" s="7" t="s">
        <v>39</v>
      </c>
      <c r="I573" s="7" t="s">
        <v>28</v>
      </c>
      <c r="J573" s="7" t="s">
        <v>40</v>
      </c>
      <c r="K573" s="7" t="s">
        <v>80</v>
      </c>
      <c r="L573" s="7" t="s">
        <v>42</v>
      </c>
      <c r="M573" s="7" t="s">
        <v>1675</v>
      </c>
      <c r="N573" s="9" t="s">
        <v>32</v>
      </c>
      <c r="O573" s="9" t="s">
        <v>81</v>
      </c>
      <c r="P573" s="9" t="s">
        <v>34</v>
      </c>
      <c r="Q573" s="10" t="str">
        <f>IF(IDMaster[[#This Row],[Consumption]]="Consumption",IDMaster[[#This Row],[Consumption]],IDMaster[[#This Row],[Basis]])</f>
        <v>Revenue</v>
      </c>
      <c r="R573" s="7" t="str">
        <f>IDMaster[[#This Row],[Supported Group]]&amp;"."&amp;IDMaster[[#This Row],[Basis]]</f>
        <v>Data.Revenue</v>
      </c>
      <c r="S573" s="11">
        <v>0.42185161428265983</v>
      </c>
      <c r="T573" s="12">
        <v>0.57814838571734017</v>
      </c>
      <c r="U573" s="12">
        <v>0</v>
      </c>
      <c r="V573" s="12">
        <v>0</v>
      </c>
      <c r="W573" s="12">
        <v>0</v>
      </c>
    </row>
    <row r="574" spans="1:23" x14ac:dyDescent="0.35">
      <c r="A574" s="7" t="s">
        <v>23</v>
      </c>
      <c r="B574" s="7" t="s">
        <v>1676</v>
      </c>
      <c r="C574" s="7" t="s">
        <v>329</v>
      </c>
      <c r="D574" s="8">
        <v>207712</v>
      </c>
      <c r="E574" s="7" t="s">
        <v>295</v>
      </c>
      <c r="F574" s="7" t="s">
        <v>1677</v>
      </c>
      <c r="G574" s="7" t="s">
        <v>48</v>
      </c>
      <c r="H574" s="7" t="s">
        <v>39</v>
      </c>
      <c r="I574" s="7" t="s">
        <v>123</v>
      </c>
      <c r="J574" s="7" t="s">
        <v>625</v>
      </c>
      <c r="K574" s="7" t="s">
        <v>80</v>
      </c>
      <c r="L574" s="7" t="s">
        <v>42</v>
      </c>
      <c r="M574" s="7" t="s">
        <v>1678</v>
      </c>
      <c r="N574" s="9" t="s">
        <v>692</v>
      </c>
      <c r="O574" s="9" t="s">
        <v>538</v>
      </c>
      <c r="P574" s="9" t="s">
        <v>34</v>
      </c>
      <c r="Q574" s="10" t="str">
        <f>IF(IDMaster[[#This Row],[Consumption]]="Consumption",IDMaster[[#This Row],[Consumption]],IDMaster[[#This Row],[Basis]])</f>
        <v>Store Count</v>
      </c>
      <c r="R574" s="7" t="str">
        <f>IDMaster[[#This Row],[Supported Group]]&amp;"."&amp;IDMaster[[#This Row],[Basis]]</f>
        <v>RAC.Store Count</v>
      </c>
      <c r="S574" s="11">
        <v>0.7087214225232854</v>
      </c>
      <c r="T574" s="12">
        <v>0.29127857747671465</v>
      </c>
      <c r="U574" s="12">
        <v>0</v>
      </c>
      <c r="V574" s="12">
        <v>0</v>
      </c>
      <c r="W574" s="12">
        <v>0</v>
      </c>
    </row>
    <row r="575" spans="1:23" x14ac:dyDescent="0.35">
      <c r="A575" s="7" t="s">
        <v>23</v>
      </c>
      <c r="B575" s="7" t="s">
        <v>1679</v>
      </c>
      <c r="C575" s="15" t="s">
        <v>121</v>
      </c>
      <c r="D575" s="8">
        <v>260532</v>
      </c>
      <c r="E575" s="7" t="s">
        <v>295</v>
      </c>
      <c r="F575" s="7" t="s">
        <v>1680</v>
      </c>
      <c r="G575" s="7" t="s">
        <v>48</v>
      </c>
      <c r="H575" s="7" t="s">
        <v>39</v>
      </c>
      <c r="I575" s="7" t="s">
        <v>123</v>
      </c>
      <c r="J575" s="7" t="s">
        <v>124</v>
      </c>
      <c r="K575" s="7" t="s">
        <v>41</v>
      </c>
      <c r="L575" s="7" t="s">
        <v>42</v>
      </c>
      <c r="M575" s="7" t="s">
        <v>445</v>
      </c>
      <c r="N575" s="9" t="s">
        <v>126</v>
      </c>
      <c r="O575" s="9" t="s">
        <v>538</v>
      </c>
      <c r="P575" s="9" t="s">
        <v>34</v>
      </c>
      <c r="Q575" s="10" t="str">
        <f>IF(IDMaster[[#This Row],[Consumption]]="Consumption",IDMaster[[#This Row],[Consumption]],IDMaster[[#This Row],[Basis]])</f>
        <v>RAC Direct</v>
      </c>
      <c r="R575" s="7" t="str">
        <f>IDMaster[[#This Row],[Supported Group]]&amp;"."&amp;IDMaster[[#This Row],[Basis]]</f>
        <v>RAC.RAC Direct</v>
      </c>
      <c r="S575" s="11">
        <v>1</v>
      </c>
      <c r="T575" s="12">
        <v>0</v>
      </c>
      <c r="U575" s="12">
        <v>0</v>
      </c>
      <c r="V575" s="12">
        <v>0</v>
      </c>
      <c r="W575" s="12">
        <v>0</v>
      </c>
    </row>
    <row r="576" spans="1:23" x14ac:dyDescent="0.35">
      <c r="A576" s="7" t="s">
        <v>23</v>
      </c>
      <c r="B576" s="7" t="s">
        <v>1681</v>
      </c>
      <c r="C576" s="7" t="s">
        <v>121</v>
      </c>
      <c r="D576" s="8">
        <v>260532</v>
      </c>
      <c r="E576" s="7" t="s">
        <v>295</v>
      </c>
      <c r="F576" s="7" t="s">
        <v>1682</v>
      </c>
      <c r="G576" s="7" t="s">
        <v>48</v>
      </c>
      <c r="H576" s="7" t="s">
        <v>39</v>
      </c>
      <c r="I576" s="7" t="s">
        <v>123</v>
      </c>
      <c r="J576" s="7" t="s">
        <v>124</v>
      </c>
      <c r="K576" s="7" t="s">
        <v>41</v>
      </c>
      <c r="L576" s="7" t="s">
        <v>42</v>
      </c>
      <c r="M576" s="7" t="s">
        <v>445</v>
      </c>
      <c r="N576" s="9" t="s">
        <v>126</v>
      </c>
      <c r="O576" s="9" t="s">
        <v>538</v>
      </c>
      <c r="P576" s="9" t="s">
        <v>34</v>
      </c>
      <c r="Q576" s="10" t="str">
        <f>IF(IDMaster[[#This Row],[Consumption]]="Consumption",IDMaster[[#This Row],[Consumption]],IDMaster[[#This Row],[Basis]])</f>
        <v>RAC Direct</v>
      </c>
      <c r="R576" s="7" t="str">
        <f>IDMaster[[#This Row],[Supported Group]]&amp;"."&amp;IDMaster[[#This Row],[Basis]]</f>
        <v>RAC.RAC Direct</v>
      </c>
      <c r="S576" s="11">
        <v>1</v>
      </c>
      <c r="T576" s="12">
        <v>0</v>
      </c>
      <c r="U576" s="12">
        <v>0</v>
      </c>
      <c r="V576" s="12">
        <v>0</v>
      </c>
      <c r="W576" s="12">
        <v>0</v>
      </c>
    </row>
    <row r="577" spans="1:23" x14ac:dyDescent="0.35">
      <c r="A577" s="7" t="s">
        <v>23</v>
      </c>
      <c r="B577" s="7" t="s">
        <v>1683</v>
      </c>
      <c r="C577" s="7" t="s">
        <v>121</v>
      </c>
      <c r="D577" s="8">
        <v>260532</v>
      </c>
      <c r="E577" s="7" t="s">
        <v>295</v>
      </c>
      <c r="F577" s="7" t="s">
        <v>1684</v>
      </c>
      <c r="G577" s="7" t="s">
        <v>48</v>
      </c>
      <c r="H577" s="7" t="s">
        <v>39</v>
      </c>
      <c r="I577" s="7" t="s">
        <v>123</v>
      </c>
      <c r="J577" s="7" t="s">
        <v>124</v>
      </c>
      <c r="K577" s="7" t="s">
        <v>41</v>
      </c>
      <c r="L577" s="7" t="s">
        <v>42</v>
      </c>
      <c r="M577" s="7" t="s">
        <v>445</v>
      </c>
      <c r="N577" s="9" t="s">
        <v>32</v>
      </c>
      <c r="O577" s="9" t="s">
        <v>141</v>
      </c>
      <c r="P577" s="9" t="s">
        <v>34</v>
      </c>
      <c r="Q577" s="10" t="str">
        <f>IF(IDMaster[[#This Row],[Consumption]]="Consumption",IDMaster[[#This Row],[Consumption]],IDMaster[[#This Row],[Basis]])</f>
        <v>Revenue</v>
      </c>
      <c r="R577" s="7" t="str">
        <f>IDMaster[[#This Row],[Supported Group]]&amp;"."&amp;IDMaster[[#This Row],[Basis]]</f>
        <v>Other.Revenue</v>
      </c>
      <c r="S577" s="11">
        <v>0.42185161428265983</v>
      </c>
      <c r="T577" s="12">
        <v>0.57814838571734017</v>
      </c>
      <c r="U577" s="12">
        <v>0</v>
      </c>
      <c r="V577" s="12">
        <v>0</v>
      </c>
      <c r="W577" s="12">
        <v>0</v>
      </c>
    </row>
    <row r="578" spans="1:23" x14ac:dyDescent="0.35">
      <c r="A578" s="7" t="s">
        <v>23</v>
      </c>
      <c r="B578" s="7" t="s">
        <v>1685</v>
      </c>
      <c r="C578" s="7" t="s">
        <v>121</v>
      </c>
      <c r="D578" s="8">
        <v>260532</v>
      </c>
      <c r="E578" s="7" t="s">
        <v>295</v>
      </c>
      <c r="F578" s="7" t="s">
        <v>1686</v>
      </c>
      <c r="G578" s="7" t="s">
        <v>48</v>
      </c>
      <c r="H578" s="7" t="s">
        <v>39</v>
      </c>
      <c r="I578" s="7" t="s">
        <v>123</v>
      </c>
      <c r="J578" s="7" t="s">
        <v>124</v>
      </c>
      <c r="K578" s="7" t="s">
        <v>41</v>
      </c>
      <c r="L578" s="7" t="s">
        <v>42</v>
      </c>
      <c r="M578" s="7" t="s">
        <v>445</v>
      </c>
      <c r="N578" s="9" t="s">
        <v>126</v>
      </c>
      <c r="O578" s="9" t="s">
        <v>51</v>
      </c>
      <c r="P578" s="9" t="s">
        <v>34</v>
      </c>
      <c r="Q578" s="10" t="str">
        <f>IF(IDMaster[[#This Row],[Consumption]]="Consumption",IDMaster[[#This Row],[Consumption]],IDMaster[[#This Row],[Basis]])</f>
        <v>RAC Direct</v>
      </c>
      <c r="R578" s="7" t="str">
        <f>IDMaster[[#This Row],[Supported Group]]&amp;"."&amp;IDMaster[[#This Row],[Basis]]</f>
        <v>IT Infrastructure.RAC Direct</v>
      </c>
      <c r="S578" s="11">
        <v>1</v>
      </c>
      <c r="T578" s="12">
        <v>0</v>
      </c>
      <c r="U578" s="12">
        <v>0</v>
      </c>
      <c r="V578" s="12">
        <v>0</v>
      </c>
      <c r="W578" s="12">
        <v>0</v>
      </c>
    </row>
    <row r="579" spans="1:23" x14ac:dyDescent="0.35">
      <c r="A579" s="7" t="s">
        <v>23</v>
      </c>
      <c r="B579" s="7" t="s">
        <v>1687</v>
      </c>
      <c r="C579" s="7" t="s">
        <v>121</v>
      </c>
      <c r="D579" s="8">
        <v>260532</v>
      </c>
      <c r="E579" s="7" t="s">
        <v>295</v>
      </c>
      <c r="F579" s="7" t="s">
        <v>1688</v>
      </c>
      <c r="G579" s="7" t="s">
        <v>48</v>
      </c>
      <c r="H579" s="7" t="s">
        <v>39</v>
      </c>
      <c r="I579" s="7" t="s">
        <v>123</v>
      </c>
      <c r="J579" s="7" t="s">
        <v>124</v>
      </c>
      <c r="K579" s="7" t="s">
        <v>41</v>
      </c>
      <c r="L579" s="7" t="s">
        <v>42</v>
      </c>
      <c r="M579" s="7" t="s">
        <v>445</v>
      </c>
      <c r="N579" s="9" t="s">
        <v>126</v>
      </c>
      <c r="O579" s="9" t="s">
        <v>538</v>
      </c>
      <c r="P579" s="9" t="s">
        <v>34</v>
      </c>
      <c r="Q579" s="10" t="str">
        <f>IF(IDMaster[[#This Row],[Consumption]]="Consumption",IDMaster[[#This Row],[Consumption]],IDMaster[[#This Row],[Basis]])</f>
        <v>RAC Direct</v>
      </c>
      <c r="R579" s="7" t="str">
        <f>IDMaster[[#This Row],[Supported Group]]&amp;"."&amp;IDMaster[[#This Row],[Basis]]</f>
        <v>RAC.RAC Direct</v>
      </c>
      <c r="S579" s="11">
        <v>1</v>
      </c>
      <c r="T579" s="12">
        <v>0</v>
      </c>
      <c r="U579" s="12">
        <v>0</v>
      </c>
      <c r="V579" s="12">
        <v>0</v>
      </c>
      <c r="W579" s="12">
        <v>0</v>
      </c>
    </row>
    <row r="580" spans="1:23" x14ac:dyDescent="0.35">
      <c r="A580" s="7" t="s">
        <v>23</v>
      </c>
      <c r="B580" s="7" t="s">
        <v>1689</v>
      </c>
      <c r="C580" s="7" t="s">
        <v>121</v>
      </c>
      <c r="D580" s="8">
        <v>260532</v>
      </c>
      <c r="E580" s="7" t="s">
        <v>295</v>
      </c>
      <c r="F580" s="7" t="s">
        <v>1690</v>
      </c>
      <c r="G580" s="7" t="s">
        <v>48</v>
      </c>
      <c r="H580" s="7" t="s">
        <v>39</v>
      </c>
      <c r="I580" s="7" t="s">
        <v>123</v>
      </c>
      <c r="J580" s="7" t="s">
        <v>124</v>
      </c>
      <c r="K580" s="7" t="s">
        <v>41</v>
      </c>
      <c r="L580" s="7" t="s">
        <v>42</v>
      </c>
      <c r="M580" s="7" t="s">
        <v>445</v>
      </c>
      <c r="N580" s="9" t="s">
        <v>32</v>
      </c>
      <c r="O580" s="9" t="s">
        <v>141</v>
      </c>
      <c r="P580" s="9" t="s">
        <v>34</v>
      </c>
      <c r="Q580" s="10" t="str">
        <f>IF(IDMaster[[#This Row],[Consumption]]="Consumption",IDMaster[[#This Row],[Consumption]],IDMaster[[#This Row],[Basis]])</f>
        <v>Revenue</v>
      </c>
      <c r="R580" s="7" t="str">
        <f>IDMaster[[#This Row],[Supported Group]]&amp;"."&amp;IDMaster[[#This Row],[Basis]]</f>
        <v>Other.Revenue</v>
      </c>
      <c r="S580" s="11">
        <v>0.42185161428265983</v>
      </c>
      <c r="T580" s="12">
        <v>0.57814838571734017</v>
      </c>
      <c r="U580" s="12">
        <v>0</v>
      </c>
      <c r="V580" s="12">
        <v>0</v>
      </c>
      <c r="W580" s="12">
        <v>0</v>
      </c>
    </row>
    <row r="581" spans="1:23" x14ac:dyDescent="0.35">
      <c r="A581" s="7" t="s">
        <v>23</v>
      </c>
      <c r="B581" s="7" t="s">
        <v>1691</v>
      </c>
      <c r="C581" s="7" t="s">
        <v>121</v>
      </c>
      <c r="D581" s="8">
        <v>260532</v>
      </c>
      <c r="E581" s="7" t="s">
        <v>295</v>
      </c>
      <c r="F581" s="7" t="s">
        <v>1692</v>
      </c>
      <c r="G581" s="7" t="s">
        <v>48</v>
      </c>
      <c r="H581" s="7" t="s">
        <v>39</v>
      </c>
      <c r="I581" s="7" t="s">
        <v>123</v>
      </c>
      <c r="J581" s="7" t="s">
        <v>124</v>
      </c>
      <c r="K581" s="7" t="s">
        <v>80</v>
      </c>
      <c r="L581" s="7" t="s">
        <v>42</v>
      </c>
      <c r="M581" s="7" t="s">
        <v>445</v>
      </c>
      <c r="N581" s="9" t="s">
        <v>32</v>
      </c>
      <c r="O581" s="9" t="s">
        <v>141</v>
      </c>
      <c r="P581" s="9" t="s">
        <v>34</v>
      </c>
      <c r="Q581" s="10" t="str">
        <f>IF(IDMaster[[#This Row],[Consumption]]="Consumption",IDMaster[[#This Row],[Consumption]],IDMaster[[#This Row],[Basis]])</f>
        <v>Revenue</v>
      </c>
      <c r="R581" s="7" t="str">
        <f>IDMaster[[#This Row],[Supported Group]]&amp;"."&amp;IDMaster[[#This Row],[Basis]]</f>
        <v>Other.Revenue</v>
      </c>
      <c r="S581" s="11">
        <v>0.42185161428265983</v>
      </c>
      <c r="T581" s="12">
        <v>0.57814838571734017</v>
      </c>
      <c r="U581" s="12">
        <v>0</v>
      </c>
      <c r="V581" s="12">
        <v>0</v>
      </c>
      <c r="W581" s="12">
        <v>0</v>
      </c>
    </row>
    <row r="582" spans="1:23" x14ac:dyDescent="0.35">
      <c r="A582" s="7" t="s">
        <v>23</v>
      </c>
      <c r="B582" s="7" t="s">
        <v>1693</v>
      </c>
      <c r="C582" s="7" t="s">
        <v>121</v>
      </c>
      <c r="D582" s="8">
        <v>260532</v>
      </c>
      <c r="E582" s="7" t="s">
        <v>295</v>
      </c>
      <c r="F582" s="7" t="s">
        <v>1692</v>
      </c>
      <c r="G582" s="7" t="s">
        <v>48</v>
      </c>
      <c r="H582" s="7" t="s">
        <v>39</v>
      </c>
      <c r="I582" s="7" t="s">
        <v>123</v>
      </c>
      <c r="J582" s="7" t="s">
        <v>124</v>
      </c>
      <c r="K582" s="7" t="s">
        <v>80</v>
      </c>
      <c r="L582" s="7" t="s">
        <v>42</v>
      </c>
      <c r="M582" s="7" t="s">
        <v>445</v>
      </c>
      <c r="N582" s="9" t="s">
        <v>32</v>
      </c>
      <c r="O582" s="9" t="s">
        <v>141</v>
      </c>
      <c r="P582" s="9" t="s">
        <v>34</v>
      </c>
      <c r="Q582" s="10" t="str">
        <f>IF(IDMaster[[#This Row],[Consumption]]="Consumption",IDMaster[[#This Row],[Consumption]],IDMaster[[#This Row],[Basis]])</f>
        <v>Revenue</v>
      </c>
      <c r="R582" s="7" t="str">
        <f>IDMaster[[#This Row],[Supported Group]]&amp;"."&amp;IDMaster[[#This Row],[Basis]]</f>
        <v>Other.Revenue</v>
      </c>
      <c r="S582" s="11">
        <v>0.42185161428265983</v>
      </c>
      <c r="T582" s="12">
        <v>0.57814838571734017</v>
      </c>
      <c r="U582" s="12">
        <v>0</v>
      </c>
      <c r="V582" s="12">
        <v>0</v>
      </c>
      <c r="W582" s="12">
        <v>0</v>
      </c>
    </row>
    <row r="583" spans="1:23" x14ac:dyDescent="0.35">
      <c r="A583" s="7" t="s">
        <v>23</v>
      </c>
      <c r="B583" s="7" t="s">
        <v>1694</v>
      </c>
      <c r="C583" s="7" t="s">
        <v>121</v>
      </c>
      <c r="D583" s="8">
        <v>260532</v>
      </c>
      <c r="E583" s="7" t="s">
        <v>295</v>
      </c>
      <c r="F583" s="7" t="s">
        <v>1692</v>
      </c>
      <c r="G583" s="7" t="s">
        <v>48</v>
      </c>
      <c r="H583" s="7" t="s">
        <v>39</v>
      </c>
      <c r="I583" s="7" t="s">
        <v>123</v>
      </c>
      <c r="J583" s="7" t="s">
        <v>124</v>
      </c>
      <c r="K583" s="7" t="s">
        <v>80</v>
      </c>
      <c r="L583" s="7" t="s">
        <v>42</v>
      </c>
      <c r="M583" s="7" t="s">
        <v>445</v>
      </c>
      <c r="N583" s="9" t="s">
        <v>126</v>
      </c>
      <c r="O583" s="9" t="s">
        <v>51</v>
      </c>
      <c r="P583" s="9" t="s">
        <v>34</v>
      </c>
      <c r="Q583" s="10" t="str">
        <f>IF(IDMaster[[#This Row],[Consumption]]="Consumption",IDMaster[[#This Row],[Consumption]],IDMaster[[#This Row],[Basis]])</f>
        <v>RAC Direct</v>
      </c>
      <c r="R583" s="7" t="str">
        <f>IDMaster[[#This Row],[Supported Group]]&amp;"."&amp;IDMaster[[#This Row],[Basis]]</f>
        <v>IT Infrastructure.RAC Direct</v>
      </c>
      <c r="S583" s="11">
        <v>1</v>
      </c>
      <c r="T583" s="12">
        <v>0</v>
      </c>
      <c r="U583" s="12">
        <v>0</v>
      </c>
      <c r="V583" s="12">
        <v>0</v>
      </c>
      <c r="W583" s="12">
        <v>0</v>
      </c>
    </row>
    <row r="584" spans="1:23" x14ac:dyDescent="0.35">
      <c r="A584" s="7" t="s">
        <v>23</v>
      </c>
      <c r="B584" s="7" t="s">
        <v>1695</v>
      </c>
      <c r="C584" s="7" t="s">
        <v>121</v>
      </c>
      <c r="D584" s="8">
        <v>260532</v>
      </c>
      <c r="E584" s="7" t="s">
        <v>295</v>
      </c>
      <c r="F584" s="7" t="s">
        <v>1696</v>
      </c>
      <c r="G584" s="7" t="s">
        <v>48</v>
      </c>
      <c r="H584" s="7" t="s">
        <v>39</v>
      </c>
      <c r="I584" s="7" t="s">
        <v>123</v>
      </c>
      <c r="J584" s="7" t="s">
        <v>124</v>
      </c>
      <c r="K584" s="7" t="s">
        <v>80</v>
      </c>
      <c r="L584" s="7" t="s">
        <v>42</v>
      </c>
      <c r="M584" s="7" t="s">
        <v>445</v>
      </c>
      <c r="N584" s="9" t="s">
        <v>126</v>
      </c>
      <c r="O584" s="9" t="s">
        <v>51</v>
      </c>
      <c r="P584" s="9" t="s">
        <v>34</v>
      </c>
      <c r="Q584" s="10" t="str">
        <f>IF(IDMaster[[#This Row],[Consumption]]="Consumption",IDMaster[[#This Row],[Consumption]],IDMaster[[#This Row],[Basis]])</f>
        <v>RAC Direct</v>
      </c>
      <c r="R584" s="7" t="str">
        <f>IDMaster[[#This Row],[Supported Group]]&amp;"."&amp;IDMaster[[#This Row],[Basis]]</f>
        <v>IT Infrastructure.RAC Direct</v>
      </c>
      <c r="S584" s="11">
        <v>1</v>
      </c>
      <c r="T584" s="12">
        <v>0</v>
      </c>
      <c r="U584" s="12">
        <v>0</v>
      </c>
      <c r="V584" s="12">
        <v>0</v>
      </c>
      <c r="W584" s="12">
        <v>0</v>
      </c>
    </row>
    <row r="585" spans="1:23" x14ac:dyDescent="0.35">
      <c r="A585" s="7" t="s">
        <v>23</v>
      </c>
      <c r="B585" s="7" t="s">
        <v>1697</v>
      </c>
      <c r="C585" s="7" t="s">
        <v>329</v>
      </c>
      <c r="D585" s="8">
        <v>207712</v>
      </c>
      <c r="E585" s="7" t="s">
        <v>260</v>
      </c>
      <c r="F585" s="7" t="s">
        <v>1698</v>
      </c>
      <c r="G585" s="7" t="s">
        <v>48</v>
      </c>
      <c r="H585" s="7" t="s">
        <v>39</v>
      </c>
      <c r="I585" s="7" t="s">
        <v>123</v>
      </c>
      <c r="J585" s="7" t="s">
        <v>40</v>
      </c>
      <c r="K585" s="7" t="s">
        <v>41</v>
      </c>
      <c r="L585" s="7" t="s">
        <v>42</v>
      </c>
      <c r="M585" s="7" t="s">
        <v>1699</v>
      </c>
      <c r="N585" s="9" t="s">
        <v>126</v>
      </c>
      <c r="O585" s="9" t="s">
        <v>33</v>
      </c>
      <c r="P585" s="9" t="s">
        <v>34</v>
      </c>
      <c r="Q585" s="10" t="str">
        <f>IF(IDMaster[[#This Row],[Consumption]]="Consumption",IDMaster[[#This Row],[Consumption]],IDMaster[[#This Row],[Basis]])</f>
        <v>RAC Direct</v>
      </c>
      <c r="R585" s="7" t="str">
        <f>IDMaster[[#This Row],[Supported Group]]&amp;"."&amp;IDMaster[[#This Row],[Basis]]</f>
        <v>IT Tools.RAC Direct</v>
      </c>
      <c r="S585" s="11">
        <v>1</v>
      </c>
      <c r="T585" s="12">
        <v>0</v>
      </c>
      <c r="U585" s="12">
        <v>0</v>
      </c>
      <c r="V585" s="12">
        <v>0</v>
      </c>
      <c r="W585" s="12">
        <v>0</v>
      </c>
    </row>
    <row r="586" spans="1:23" x14ac:dyDescent="0.35">
      <c r="A586" s="16" t="s">
        <v>23</v>
      </c>
      <c r="B586" s="16" t="s">
        <v>1700</v>
      </c>
      <c r="C586" s="16" t="s">
        <v>1701</v>
      </c>
      <c r="D586" s="18">
        <v>231971</v>
      </c>
      <c r="E586" s="16" t="s">
        <v>1702</v>
      </c>
      <c r="F586" s="16" t="s">
        <v>1703</v>
      </c>
      <c r="G586" s="16" t="s">
        <v>72</v>
      </c>
      <c r="H586" s="16" t="s">
        <v>39</v>
      </c>
      <c r="I586" s="16" t="s">
        <v>123</v>
      </c>
      <c r="J586" s="16" t="s">
        <v>40</v>
      </c>
      <c r="K586" s="16" t="s">
        <v>80</v>
      </c>
      <c r="L586" s="16" t="s">
        <v>42</v>
      </c>
      <c r="M586" s="16" t="s">
        <v>1704</v>
      </c>
      <c r="N586" s="9" t="s">
        <v>126</v>
      </c>
      <c r="O586" s="9" t="s">
        <v>538</v>
      </c>
      <c r="P586" s="14" t="s">
        <v>34</v>
      </c>
      <c r="Q586" s="10" t="str">
        <f>IF(IDMaster[[#This Row],[Consumption]]="Consumption",IDMaster[[#This Row],[Consumption]],IDMaster[[#This Row],[Basis]])</f>
        <v>RAC Direct</v>
      </c>
      <c r="R586" s="7" t="str">
        <f>IDMaster[[#This Row],[Supported Group]]&amp;"."&amp;IDMaster[[#This Row],[Basis]]</f>
        <v>RAC.RAC Direct</v>
      </c>
      <c r="S586" s="11">
        <v>1</v>
      </c>
      <c r="T586" s="12">
        <v>0</v>
      </c>
      <c r="U586" s="12">
        <v>0</v>
      </c>
      <c r="V586" s="12">
        <v>0</v>
      </c>
      <c r="W586" s="12">
        <v>0</v>
      </c>
    </row>
    <row r="587" spans="1:23" x14ac:dyDescent="0.35">
      <c r="A587" s="16" t="s">
        <v>23</v>
      </c>
      <c r="B587" s="16" t="s">
        <v>1705</v>
      </c>
      <c r="C587" s="16" t="s">
        <v>1701</v>
      </c>
      <c r="D587" s="18">
        <v>231971</v>
      </c>
      <c r="E587" s="16" t="s">
        <v>1702</v>
      </c>
      <c r="F587" s="16" t="s">
        <v>1706</v>
      </c>
      <c r="G587" s="16" t="s">
        <v>72</v>
      </c>
      <c r="H587" s="16" t="s">
        <v>39</v>
      </c>
      <c r="I587" s="16" t="s">
        <v>123</v>
      </c>
      <c r="J587" s="16" t="s">
        <v>40</v>
      </c>
      <c r="K587" s="16" t="s">
        <v>80</v>
      </c>
      <c r="L587" s="16" t="s">
        <v>42</v>
      </c>
      <c r="M587" s="16" t="s">
        <v>1704</v>
      </c>
      <c r="N587" s="9" t="s">
        <v>446</v>
      </c>
      <c r="O587" s="9" t="s">
        <v>447</v>
      </c>
      <c r="P587" s="14" t="s">
        <v>34</v>
      </c>
      <c r="Q587" s="10" t="str">
        <f>IF(IDMaster[[#This Row],[Consumption]]="Consumption",IDMaster[[#This Row],[Consumption]],IDMaster[[#This Row],[Basis]])</f>
        <v>Acima Direct</v>
      </c>
      <c r="R587" s="7" t="str">
        <f>IDMaster[[#This Row],[Supported Group]]&amp;"."&amp;IDMaster[[#This Row],[Basis]]</f>
        <v>Acima.Acima Direct</v>
      </c>
      <c r="S587" s="11">
        <v>0</v>
      </c>
      <c r="T587" s="12">
        <v>1</v>
      </c>
      <c r="U587" s="12">
        <v>0</v>
      </c>
      <c r="V587" s="12">
        <v>0</v>
      </c>
      <c r="W587" s="12">
        <v>0</v>
      </c>
    </row>
    <row r="588" spans="1:23" x14ac:dyDescent="0.35">
      <c r="A588" s="7" t="s">
        <v>23</v>
      </c>
      <c r="B588" s="7" t="s">
        <v>1707</v>
      </c>
      <c r="C588" s="7" t="s">
        <v>1701</v>
      </c>
      <c r="D588" s="8">
        <v>231971</v>
      </c>
      <c r="E588" s="7" t="s">
        <v>1702</v>
      </c>
      <c r="F588" s="7" t="s">
        <v>1704</v>
      </c>
      <c r="G588" s="7" t="s">
        <v>72</v>
      </c>
      <c r="H588" s="7" t="s">
        <v>39</v>
      </c>
      <c r="I588" s="7" t="s">
        <v>28</v>
      </c>
      <c r="J588" s="7" t="s">
        <v>40</v>
      </c>
      <c r="K588" s="7" t="s">
        <v>80</v>
      </c>
      <c r="L588" s="7" t="s">
        <v>42</v>
      </c>
      <c r="M588" s="7" t="s">
        <v>1704</v>
      </c>
      <c r="N588" s="9" t="s">
        <v>32</v>
      </c>
      <c r="O588" s="9" t="s">
        <v>1708</v>
      </c>
      <c r="P588" s="14" t="s">
        <v>34</v>
      </c>
      <c r="Q588" s="10" t="str">
        <f>IF(IDMaster[[#This Row],[Consumption]]="Consumption",IDMaster[[#This Row],[Consumption]],IDMaster[[#This Row],[Basis]])</f>
        <v>Revenue</v>
      </c>
      <c r="R588" s="7" t="str">
        <f>IDMaster[[#This Row],[Supported Group]]&amp;"."&amp;IDMaster[[#This Row],[Basis]]</f>
        <v>Upbound.Revenue</v>
      </c>
      <c r="S588" s="11">
        <v>0.42185161428265983</v>
      </c>
      <c r="T588" s="12">
        <v>0.57814838571734017</v>
      </c>
      <c r="U588" s="12">
        <v>0</v>
      </c>
      <c r="V588" s="12">
        <v>0</v>
      </c>
      <c r="W588" s="12">
        <v>0</v>
      </c>
    </row>
    <row r="589" spans="1:23" x14ac:dyDescent="0.35">
      <c r="A589" s="7" t="s">
        <v>23</v>
      </c>
      <c r="B589" s="7" t="s">
        <v>1709</v>
      </c>
      <c r="C589" s="15" t="s">
        <v>598</v>
      </c>
      <c r="D589" s="8">
        <v>196781</v>
      </c>
      <c r="E589" s="7" t="s">
        <v>584</v>
      </c>
      <c r="F589" s="7" t="s">
        <v>1710</v>
      </c>
      <c r="G589" s="7" t="s">
        <v>48</v>
      </c>
      <c r="H589" s="7" t="s">
        <v>39</v>
      </c>
      <c r="I589" s="7" t="s">
        <v>28</v>
      </c>
      <c r="J589" s="7" t="s">
        <v>40</v>
      </c>
      <c r="K589" s="7" t="s">
        <v>80</v>
      </c>
      <c r="L589" s="7" t="s">
        <v>42</v>
      </c>
      <c r="M589" s="7" t="s">
        <v>43</v>
      </c>
      <c r="N589" s="9" t="s">
        <v>92</v>
      </c>
      <c r="O589" s="9" t="s">
        <v>33</v>
      </c>
      <c r="P589" s="9" t="s">
        <v>34</v>
      </c>
      <c r="Q589" s="10" t="str">
        <f>IF(IDMaster[[#This Row],[Consumption]]="Consumption",IDMaster[[#This Row],[Consumption]],IDMaster[[#This Row],[Basis]])</f>
        <v>Total Headcount</v>
      </c>
      <c r="R589" s="7" t="str">
        <f>IDMaster[[#This Row],[Supported Group]]&amp;"."&amp;IDMaster[[#This Row],[Basis]]</f>
        <v>IT Tools.Total Headcount</v>
      </c>
      <c r="S589" s="11">
        <v>0.69106036166058238</v>
      </c>
      <c r="T589" s="12">
        <v>0.14347567705238135</v>
      </c>
      <c r="U589" s="12">
        <v>0</v>
      </c>
      <c r="V589" s="12">
        <v>0</v>
      </c>
      <c r="W589" s="12">
        <v>0.16546396128703625</v>
      </c>
    </row>
    <row r="590" spans="1:23" x14ac:dyDescent="0.35">
      <c r="A590" s="7" t="s">
        <v>23</v>
      </c>
      <c r="B590" s="7" t="s">
        <v>1711</v>
      </c>
      <c r="C590" s="7" t="s">
        <v>598</v>
      </c>
      <c r="D590" s="8">
        <v>196781</v>
      </c>
      <c r="E590" s="7" t="s">
        <v>312</v>
      </c>
      <c r="F590" s="7" t="s">
        <v>1032</v>
      </c>
      <c r="G590" s="7" t="s">
        <v>48</v>
      </c>
      <c r="H590" s="7" t="s">
        <v>39</v>
      </c>
      <c r="I590" s="7" t="s">
        <v>28</v>
      </c>
      <c r="J590" s="7" t="s">
        <v>40</v>
      </c>
      <c r="K590" s="7" t="s">
        <v>80</v>
      </c>
      <c r="L590" s="7" t="s">
        <v>42</v>
      </c>
      <c r="M590" s="7" t="s">
        <v>1033</v>
      </c>
      <c r="N590" s="9" t="s">
        <v>92</v>
      </c>
      <c r="O590" s="9" t="s">
        <v>44</v>
      </c>
      <c r="P590" s="9" t="s">
        <v>34</v>
      </c>
      <c r="Q590" s="10" t="str">
        <f>IF(IDMaster[[#This Row],[Consumption]]="Consumption",IDMaster[[#This Row],[Consumption]],IDMaster[[#This Row],[Basis]])</f>
        <v>Total Headcount</v>
      </c>
      <c r="R590" s="7" t="str">
        <f>IDMaster[[#This Row],[Supported Group]]&amp;"."&amp;IDMaster[[#This Row],[Basis]]</f>
        <v>Corporate.Total Headcount</v>
      </c>
      <c r="S590" s="11">
        <v>0.69106036166058238</v>
      </c>
      <c r="T590" s="12">
        <v>0.14347567705238135</v>
      </c>
      <c r="U590" s="12">
        <v>0</v>
      </c>
      <c r="V590" s="12">
        <v>0</v>
      </c>
      <c r="W590" s="12">
        <v>0.16546396128703625</v>
      </c>
    </row>
    <row r="591" spans="1:23" x14ac:dyDescent="0.35">
      <c r="A591" s="7" t="s">
        <v>23</v>
      </c>
      <c r="B591" s="7" t="s">
        <v>1712</v>
      </c>
      <c r="C591" s="7" t="s">
        <v>226</v>
      </c>
      <c r="D591" s="8">
        <v>259622</v>
      </c>
      <c r="E591" s="7" t="s">
        <v>227</v>
      </c>
      <c r="F591" s="7" t="s">
        <v>1713</v>
      </c>
      <c r="G591" s="7" t="s">
        <v>48</v>
      </c>
      <c r="H591" s="7" t="s">
        <v>27</v>
      </c>
      <c r="I591" s="7" t="s">
        <v>28</v>
      </c>
      <c r="J591" s="7" t="s">
        <v>40</v>
      </c>
      <c r="K591" s="7" t="s">
        <v>80</v>
      </c>
      <c r="L591" s="7" t="s">
        <v>42</v>
      </c>
      <c r="M591" s="7" t="s">
        <v>1713</v>
      </c>
      <c r="N591" s="9" t="s">
        <v>92</v>
      </c>
      <c r="O591" s="9" t="s">
        <v>33</v>
      </c>
      <c r="P591" s="9" t="s">
        <v>34</v>
      </c>
      <c r="Q591" s="10" t="str">
        <f>IF(IDMaster[[#This Row],[Consumption]]="Consumption",IDMaster[[#This Row],[Consumption]],IDMaster[[#This Row],[Basis]])</f>
        <v>Total Headcount</v>
      </c>
      <c r="R591" s="7" t="str">
        <f>IDMaster[[#This Row],[Supported Group]]&amp;"."&amp;IDMaster[[#This Row],[Basis]]</f>
        <v>IT Tools.Total Headcount</v>
      </c>
      <c r="S591" s="11">
        <v>0.69106036166058238</v>
      </c>
      <c r="T591" s="12">
        <v>0.14347567705238135</v>
      </c>
      <c r="U591" s="12">
        <v>0</v>
      </c>
      <c r="V591" s="12">
        <v>0</v>
      </c>
      <c r="W591" s="12">
        <v>0.16546396128703625</v>
      </c>
    </row>
    <row r="592" spans="1:23" x14ac:dyDescent="0.35">
      <c r="A592" s="7" t="s">
        <v>23</v>
      </c>
      <c r="B592" s="7" t="s">
        <v>1714</v>
      </c>
      <c r="C592" s="7" t="s">
        <v>1715</v>
      </c>
      <c r="D592" s="8">
        <v>258970</v>
      </c>
      <c r="E592" s="7" t="s">
        <v>270</v>
      </c>
      <c r="F592" s="7" t="s">
        <v>1716</v>
      </c>
      <c r="G592" s="7" t="s">
        <v>72</v>
      </c>
      <c r="H592" s="7" t="s">
        <v>39</v>
      </c>
      <c r="I592" s="7" t="s">
        <v>28</v>
      </c>
      <c r="J592" s="7" t="s">
        <v>124</v>
      </c>
      <c r="K592" s="7" t="s">
        <v>80</v>
      </c>
      <c r="L592" s="7" t="s">
        <v>42</v>
      </c>
      <c r="M592" s="7" t="s">
        <v>1717</v>
      </c>
      <c r="N592" s="9" t="s">
        <v>32</v>
      </c>
      <c r="O592" s="9" t="s">
        <v>272</v>
      </c>
      <c r="P592" s="9" t="s">
        <v>34</v>
      </c>
      <c r="Q592" s="10" t="str">
        <f>IF(IDMaster[[#This Row],[Consumption]]="Consumption",IDMaster[[#This Row],[Consumption]],IDMaster[[#This Row],[Basis]])</f>
        <v>Revenue</v>
      </c>
      <c r="R592" s="7" t="str">
        <f>IDMaster[[#This Row],[Supported Group]]&amp;"."&amp;IDMaster[[#This Row],[Basis]]</f>
        <v>eCommerce.Revenue</v>
      </c>
      <c r="S592" s="11">
        <v>0.42185161428265983</v>
      </c>
      <c r="T592" s="12">
        <v>0.57814838571734017</v>
      </c>
      <c r="U592" s="12">
        <v>0</v>
      </c>
      <c r="V592" s="12">
        <v>0</v>
      </c>
      <c r="W592" s="12">
        <v>0</v>
      </c>
    </row>
    <row r="593" spans="1:23" x14ac:dyDescent="0.35">
      <c r="A593" s="7" t="s">
        <v>23</v>
      </c>
      <c r="B593" s="7" t="s">
        <v>1718</v>
      </c>
      <c r="C593" s="7" t="s">
        <v>116</v>
      </c>
      <c r="D593" s="8">
        <v>250849</v>
      </c>
      <c r="E593" s="7" t="s">
        <v>270</v>
      </c>
      <c r="F593" s="7" t="s">
        <v>1719</v>
      </c>
      <c r="G593" s="7" t="s">
        <v>72</v>
      </c>
      <c r="H593" s="7" t="s">
        <v>39</v>
      </c>
      <c r="I593" s="7" t="s">
        <v>123</v>
      </c>
      <c r="J593" s="7" t="s">
        <v>40</v>
      </c>
      <c r="K593" s="7" t="s">
        <v>80</v>
      </c>
      <c r="L593" s="7" t="s">
        <v>42</v>
      </c>
      <c r="M593" s="7" t="s">
        <v>1719</v>
      </c>
      <c r="N593" s="9" t="s">
        <v>126</v>
      </c>
      <c r="O593" s="9" t="s">
        <v>272</v>
      </c>
      <c r="P593" s="9" t="s">
        <v>34</v>
      </c>
      <c r="Q593" s="10" t="str">
        <f>IF(IDMaster[[#This Row],[Consumption]]="Consumption",IDMaster[[#This Row],[Consumption]],IDMaster[[#This Row],[Basis]])</f>
        <v>RAC Direct</v>
      </c>
      <c r="R593" s="7" t="str">
        <f>IDMaster[[#This Row],[Supported Group]]&amp;"."&amp;IDMaster[[#This Row],[Basis]]</f>
        <v>eCommerce.RAC Direct</v>
      </c>
      <c r="S593" s="11">
        <v>1</v>
      </c>
      <c r="T593" s="12">
        <v>0</v>
      </c>
      <c r="U593" s="12">
        <v>0</v>
      </c>
      <c r="V593" s="12">
        <v>0</v>
      </c>
      <c r="W593" s="12">
        <v>0</v>
      </c>
    </row>
    <row r="594" spans="1:23" x14ac:dyDescent="0.35">
      <c r="A594" s="7" t="s">
        <v>23</v>
      </c>
      <c r="B594" s="7" t="s">
        <v>1720</v>
      </c>
      <c r="C594" s="7" t="s">
        <v>116</v>
      </c>
      <c r="D594" s="8">
        <v>250849</v>
      </c>
      <c r="E594" s="7" t="s">
        <v>270</v>
      </c>
      <c r="F594" s="7" t="s">
        <v>1721</v>
      </c>
      <c r="G594" s="7" t="s">
        <v>72</v>
      </c>
      <c r="H594" s="7" t="s">
        <v>39</v>
      </c>
      <c r="I594" s="7" t="s">
        <v>123</v>
      </c>
      <c r="J594" s="7" t="s">
        <v>40</v>
      </c>
      <c r="K594" s="7" t="s">
        <v>80</v>
      </c>
      <c r="L594" s="7" t="s">
        <v>42</v>
      </c>
      <c r="M594" s="7" t="s">
        <v>1721</v>
      </c>
      <c r="N594" s="9" t="s">
        <v>126</v>
      </c>
      <c r="O594" s="9" t="s">
        <v>272</v>
      </c>
      <c r="P594" s="9" t="s">
        <v>34</v>
      </c>
      <c r="Q594" s="10" t="str">
        <f>IF(IDMaster[[#This Row],[Consumption]]="Consumption",IDMaster[[#This Row],[Consumption]],IDMaster[[#This Row],[Basis]])</f>
        <v>RAC Direct</v>
      </c>
      <c r="R594" s="7" t="str">
        <f>IDMaster[[#This Row],[Supported Group]]&amp;"."&amp;IDMaster[[#This Row],[Basis]]</f>
        <v>eCommerce.RAC Direct</v>
      </c>
      <c r="S594" s="11">
        <v>1</v>
      </c>
      <c r="T594" s="12">
        <v>0</v>
      </c>
      <c r="U594" s="12">
        <v>0</v>
      </c>
      <c r="V594" s="12">
        <v>0</v>
      </c>
      <c r="W594" s="12">
        <v>0</v>
      </c>
    </row>
    <row r="595" spans="1:23" x14ac:dyDescent="0.35">
      <c r="A595" s="7" t="s">
        <v>23</v>
      </c>
      <c r="B595" s="7" t="s">
        <v>1722</v>
      </c>
      <c r="C595" s="7" t="s">
        <v>108</v>
      </c>
      <c r="D595" s="8">
        <v>266580</v>
      </c>
      <c r="E595" s="7" t="s">
        <v>95</v>
      </c>
      <c r="F595" s="7" t="s">
        <v>1723</v>
      </c>
      <c r="G595" s="7" t="s">
        <v>72</v>
      </c>
      <c r="H595" s="7" t="s">
        <v>39</v>
      </c>
      <c r="I595" s="17" t="s">
        <v>123</v>
      </c>
      <c r="J595" s="7" t="s">
        <v>40</v>
      </c>
      <c r="K595" s="7" t="s">
        <v>80</v>
      </c>
      <c r="L595" s="7" t="s">
        <v>42</v>
      </c>
      <c r="M595" s="7" t="s">
        <v>1180</v>
      </c>
      <c r="N595" s="9" t="s">
        <v>32</v>
      </c>
      <c r="O595" s="9" t="s">
        <v>99</v>
      </c>
      <c r="P595" s="9" t="s">
        <v>34</v>
      </c>
      <c r="Q595" s="10" t="str">
        <f>IF(IDMaster[[#This Row],[Consumption]]="Consumption",IDMaster[[#This Row],[Consumption]],IDMaster[[#This Row],[Basis]])</f>
        <v>Revenue</v>
      </c>
      <c r="R595" s="7" t="str">
        <f>IDMaster[[#This Row],[Supported Group]]&amp;"."&amp;IDMaster[[#This Row],[Basis]]</f>
        <v>Security.Revenue</v>
      </c>
      <c r="S595" s="11">
        <v>0.42185161428265983</v>
      </c>
      <c r="T595" s="12">
        <v>0.57814838571734017</v>
      </c>
      <c r="U595" s="12">
        <v>0</v>
      </c>
      <c r="V595" s="12">
        <v>0</v>
      </c>
      <c r="W595" s="12">
        <v>0</v>
      </c>
    </row>
    <row r="596" spans="1:23" x14ac:dyDescent="0.35">
      <c r="A596" s="7" t="s">
        <v>23</v>
      </c>
      <c r="B596" s="7" t="s">
        <v>1724</v>
      </c>
      <c r="C596" s="7" t="s">
        <v>1109</v>
      </c>
      <c r="D596" s="8">
        <v>281859</v>
      </c>
      <c r="E596" s="7" t="s">
        <v>270</v>
      </c>
      <c r="F596" s="7" t="s">
        <v>1725</v>
      </c>
      <c r="G596" s="7" t="s">
        <v>72</v>
      </c>
      <c r="H596" s="7" t="s">
        <v>39</v>
      </c>
      <c r="I596" s="7" t="s">
        <v>123</v>
      </c>
      <c r="J596" s="7" t="s">
        <v>40</v>
      </c>
      <c r="K596" s="7" t="s">
        <v>41</v>
      </c>
      <c r="L596" s="7" t="s">
        <v>42</v>
      </c>
      <c r="M596" s="7" t="s">
        <v>1726</v>
      </c>
      <c r="N596" s="9" t="s">
        <v>32</v>
      </c>
      <c r="O596" s="9" t="s">
        <v>608</v>
      </c>
      <c r="P596" s="14" t="s">
        <v>34</v>
      </c>
      <c r="Q596" s="10" t="str">
        <f>IF(IDMaster[[#This Row],[Consumption]]="Consumption",IDMaster[[#This Row],[Consumption]],IDMaster[[#This Row],[Basis]])</f>
        <v>Revenue</v>
      </c>
      <c r="R596" s="7" t="str">
        <f>IDMaster[[#This Row],[Supported Group]]&amp;"."&amp;IDMaster[[#This Row],[Basis]]</f>
        <v>Store Operations.Revenue</v>
      </c>
      <c r="S596" s="11">
        <v>0.42185161428265983</v>
      </c>
      <c r="T596" s="12">
        <v>0.57814838571734017</v>
      </c>
      <c r="U596" s="12">
        <v>0</v>
      </c>
      <c r="V596" s="12">
        <v>0</v>
      </c>
      <c r="W596" s="12">
        <v>0</v>
      </c>
    </row>
    <row r="597" spans="1:23" x14ac:dyDescent="0.35">
      <c r="A597" s="7" t="s">
        <v>23</v>
      </c>
      <c r="B597" s="7" t="s">
        <v>1727</v>
      </c>
      <c r="C597" s="7" t="s">
        <v>121</v>
      </c>
      <c r="D597" s="8">
        <v>260532</v>
      </c>
      <c r="E597" s="7" t="s">
        <v>260</v>
      </c>
      <c r="F597" s="7" t="s">
        <v>1728</v>
      </c>
      <c r="G597" s="7" t="s">
        <v>48</v>
      </c>
      <c r="H597" s="7" t="s">
        <v>39</v>
      </c>
      <c r="I597" s="7" t="s">
        <v>123</v>
      </c>
      <c r="J597" s="7" t="s">
        <v>124</v>
      </c>
      <c r="K597" s="7" t="s">
        <v>41</v>
      </c>
      <c r="L597" s="7" t="s">
        <v>42</v>
      </c>
      <c r="M597" s="7" t="s">
        <v>445</v>
      </c>
      <c r="N597" s="9" t="s">
        <v>446</v>
      </c>
      <c r="O597" s="9" t="s">
        <v>447</v>
      </c>
      <c r="P597" s="9" t="s">
        <v>34</v>
      </c>
      <c r="Q597" s="10" t="str">
        <f>IF(IDMaster[[#This Row],[Consumption]]="Consumption",IDMaster[[#This Row],[Consumption]],IDMaster[[#This Row],[Basis]])</f>
        <v>Acima Direct</v>
      </c>
      <c r="R597" s="7" t="str">
        <f>IDMaster[[#This Row],[Supported Group]]&amp;"."&amp;IDMaster[[#This Row],[Basis]]</f>
        <v>Acima.Acima Direct</v>
      </c>
      <c r="S597" s="11">
        <v>0</v>
      </c>
      <c r="T597" s="12">
        <v>1</v>
      </c>
      <c r="U597" s="12">
        <v>0</v>
      </c>
      <c r="V597" s="12">
        <v>0</v>
      </c>
      <c r="W597" s="12">
        <v>0</v>
      </c>
    </row>
    <row r="598" spans="1:23" x14ac:dyDescent="0.35">
      <c r="A598" s="7" t="s">
        <v>23</v>
      </c>
      <c r="B598" s="7" t="s">
        <v>1729</v>
      </c>
      <c r="C598" s="7" t="s">
        <v>1730</v>
      </c>
      <c r="D598" s="8">
        <v>353725</v>
      </c>
      <c r="E598" s="7" t="s">
        <v>595</v>
      </c>
      <c r="F598" s="7" t="s">
        <v>1731</v>
      </c>
      <c r="G598" s="7" t="s">
        <v>48</v>
      </c>
      <c r="H598" s="7" t="s">
        <v>489</v>
      </c>
      <c r="I598" s="7" t="s">
        <v>28</v>
      </c>
      <c r="J598" s="7" t="s">
        <v>40</v>
      </c>
      <c r="K598" s="7" t="s">
        <v>41</v>
      </c>
      <c r="L598" s="7" t="s">
        <v>42</v>
      </c>
      <c r="M598" s="7" t="s">
        <v>43</v>
      </c>
      <c r="N598" s="9" t="s">
        <v>32</v>
      </c>
      <c r="O598" s="9" t="s">
        <v>447</v>
      </c>
      <c r="P598" s="9" t="s">
        <v>34</v>
      </c>
      <c r="Q598" s="10" t="str">
        <f>IF(IDMaster[[#This Row],[Consumption]]="Consumption",IDMaster[[#This Row],[Consumption]],IDMaster[[#This Row],[Basis]])</f>
        <v>Revenue</v>
      </c>
      <c r="R598" s="7" t="str">
        <f>IDMaster[[#This Row],[Supported Group]]&amp;"."&amp;IDMaster[[#This Row],[Basis]]</f>
        <v>Acima.Revenue</v>
      </c>
      <c r="S598" s="11">
        <v>0.42185161428265983</v>
      </c>
      <c r="T598" s="12">
        <v>0.57814838571734017</v>
      </c>
      <c r="U598" s="12">
        <v>0</v>
      </c>
      <c r="V598" s="12">
        <v>0</v>
      </c>
      <c r="W598" s="12">
        <v>0</v>
      </c>
    </row>
    <row r="599" spans="1:23" x14ac:dyDescent="0.35">
      <c r="A599" s="7" t="s">
        <v>23</v>
      </c>
      <c r="B599" s="7" t="s">
        <v>1732</v>
      </c>
      <c r="C599" s="15" t="s">
        <v>1733</v>
      </c>
      <c r="D599" s="8">
        <v>361046</v>
      </c>
      <c r="E599" s="7" t="s">
        <v>595</v>
      </c>
      <c r="F599" s="7" t="s">
        <v>1734</v>
      </c>
      <c r="G599" s="7" t="s">
        <v>48</v>
      </c>
      <c r="H599" s="7" t="s">
        <v>489</v>
      </c>
      <c r="I599" s="7" t="s">
        <v>28</v>
      </c>
      <c r="J599" s="7" t="s">
        <v>40</v>
      </c>
      <c r="K599" s="7" t="s">
        <v>840</v>
      </c>
      <c r="L599" s="7" t="s">
        <v>42</v>
      </c>
      <c r="M599" s="7" t="s">
        <v>1735</v>
      </c>
      <c r="N599" s="9" t="s">
        <v>32</v>
      </c>
      <c r="O599" s="9" t="s">
        <v>447</v>
      </c>
      <c r="P599" s="9" t="s">
        <v>34</v>
      </c>
      <c r="Q599" s="10" t="str">
        <f>IF(IDMaster[[#This Row],[Consumption]]="Consumption",IDMaster[[#This Row],[Consumption]],IDMaster[[#This Row],[Basis]])</f>
        <v>Revenue</v>
      </c>
      <c r="R599" s="7" t="str">
        <f>IDMaster[[#This Row],[Supported Group]]&amp;"."&amp;IDMaster[[#This Row],[Basis]]</f>
        <v>Acima.Revenue</v>
      </c>
      <c r="S599" s="11">
        <v>0.42185161428265983</v>
      </c>
      <c r="T599" s="12">
        <v>0.57814838571734017</v>
      </c>
      <c r="U599" s="12">
        <v>0</v>
      </c>
      <c r="V599" s="12">
        <v>0</v>
      </c>
      <c r="W599" s="12">
        <v>0</v>
      </c>
    </row>
    <row r="600" spans="1:23" x14ac:dyDescent="0.35">
      <c r="A600" s="7" t="s">
        <v>23</v>
      </c>
      <c r="B600" s="7" t="s">
        <v>1736</v>
      </c>
      <c r="C600" s="7" t="s">
        <v>108</v>
      </c>
      <c r="D600" s="8">
        <v>266580</v>
      </c>
      <c r="E600" s="7" t="s">
        <v>95</v>
      </c>
      <c r="F600" s="7" t="s">
        <v>1737</v>
      </c>
      <c r="G600" s="7" t="s">
        <v>72</v>
      </c>
      <c r="H600" s="7" t="s">
        <v>39</v>
      </c>
      <c r="I600" s="7" t="s">
        <v>28</v>
      </c>
      <c r="J600" s="7" t="s">
        <v>40</v>
      </c>
      <c r="K600" s="7" t="s">
        <v>80</v>
      </c>
      <c r="L600" s="7" t="s">
        <v>42</v>
      </c>
      <c r="M600" s="7" t="s">
        <v>1738</v>
      </c>
      <c r="N600" s="9" t="s">
        <v>32</v>
      </c>
      <c r="O600" s="9" t="s">
        <v>447</v>
      </c>
      <c r="P600" s="9" t="s">
        <v>34</v>
      </c>
      <c r="Q600" s="10" t="str">
        <f>IF(IDMaster[[#This Row],[Consumption]]="Consumption",IDMaster[[#This Row],[Consumption]],IDMaster[[#This Row],[Basis]])</f>
        <v>Revenue</v>
      </c>
      <c r="R600" s="7" t="str">
        <f>IDMaster[[#This Row],[Supported Group]]&amp;"."&amp;IDMaster[[#This Row],[Basis]]</f>
        <v>Acima.Revenue</v>
      </c>
      <c r="S600" s="11">
        <v>0.42185161428265983</v>
      </c>
      <c r="T600" s="12">
        <v>0.57814838571734017</v>
      </c>
      <c r="U600" s="12">
        <v>0</v>
      </c>
      <c r="V600" s="12">
        <v>0</v>
      </c>
      <c r="W600" s="12">
        <v>0</v>
      </c>
    </row>
    <row r="601" spans="1:23" x14ac:dyDescent="0.35">
      <c r="A601" s="7" t="s">
        <v>23</v>
      </c>
      <c r="B601" s="7" t="s">
        <v>1739</v>
      </c>
      <c r="C601" s="7" t="s">
        <v>1740</v>
      </c>
      <c r="D601" s="8">
        <v>364970</v>
      </c>
      <c r="E601" s="7" t="s">
        <v>117</v>
      </c>
      <c r="F601" s="7" t="s">
        <v>1741</v>
      </c>
      <c r="G601" s="7" t="s">
        <v>72</v>
      </c>
      <c r="H601" s="7" t="s">
        <v>489</v>
      </c>
      <c r="I601" s="7" t="s">
        <v>28</v>
      </c>
      <c r="J601" s="7" t="s">
        <v>40</v>
      </c>
      <c r="K601" s="7" t="s">
        <v>840</v>
      </c>
      <c r="L601" s="7" t="s">
        <v>42</v>
      </c>
      <c r="M601" s="7" t="s">
        <v>1742</v>
      </c>
      <c r="N601" s="9" t="s">
        <v>32</v>
      </c>
      <c r="O601" s="9" t="s">
        <v>407</v>
      </c>
      <c r="P601" s="9" t="s">
        <v>34</v>
      </c>
      <c r="Q601" s="10" t="str">
        <f>IF(IDMaster[[#This Row],[Consumption]]="Consumption",IDMaster[[#This Row],[Consumption]],IDMaster[[#This Row],[Basis]])</f>
        <v>Revenue</v>
      </c>
      <c r="R601" s="7" t="str">
        <f>IDMaster[[#This Row],[Supported Group]]&amp;"."&amp;IDMaster[[#This Row],[Basis]]</f>
        <v>IT Dev Tools.Revenue</v>
      </c>
      <c r="S601" s="11">
        <v>0.42185161428265983</v>
      </c>
      <c r="T601" s="12">
        <v>0.57814838571734017</v>
      </c>
      <c r="U601" s="12">
        <v>0</v>
      </c>
      <c r="V601" s="12">
        <v>0</v>
      </c>
      <c r="W601" s="12">
        <v>0</v>
      </c>
    </row>
    <row r="602" spans="1:23" x14ac:dyDescent="0.35">
      <c r="A602" s="7" t="s">
        <v>23</v>
      </c>
      <c r="B602" s="7" t="s">
        <v>1743</v>
      </c>
      <c r="C602" s="7" t="s">
        <v>1744</v>
      </c>
      <c r="D602" s="8">
        <v>294367</v>
      </c>
      <c r="E602" s="7" t="s">
        <v>451</v>
      </c>
      <c r="F602" s="7" t="s">
        <v>1745</v>
      </c>
      <c r="G602" s="7" t="s">
        <v>72</v>
      </c>
      <c r="H602" s="7" t="s">
        <v>489</v>
      </c>
      <c r="I602" s="7" t="s">
        <v>28</v>
      </c>
      <c r="J602" s="7" t="s">
        <v>40</v>
      </c>
      <c r="K602" s="7" t="s">
        <v>41</v>
      </c>
      <c r="L602" s="7" t="s">
        <v>42</v>
      </c>
      <c r="M602" s="7" t="s">
        <v>1746</v>
      </c>
      <c r="N602" s="9" t="s">
        <v>32</v>
      </c>
      <c r="O602" s="9" t="s">
        <v>447</v>
      </c>
      <c r="P602" s="9" t="s">
        <v>34</v>
      </c>
      <c r="Q602" s="10" t="str">
        <f>IF(IDMaster[[#This Row],[Consumption]]="Consumption",IDMaster[[#This Row],[Consumption]],IDMaster[[#This Row],[Basis]])</f>
        <v>Revenue</v>
      </c>
      <c r="R602" s="7" t="str">
        <f>IDMaster[[#This Row],[Supported Group]]&amp;"."&amp;IDMaster[[#This Row],[Basis]]</f>
        <v>Acima.Revenue</v>
      </c>
      <c r="S602" s="11">
        <v>0.42185161428265983</v>
      </c>
      <c r="T602" s="12">
        <v>0.57814838571734017</v>
      </c>
      <c r="U602" s="12">
        <v>0</v>
      </c>
      <c r="V602" s="12">
        <v>0</v>
      </c>
      <c r="W602" s="12">
        <v>0</v>
      </c>
    </row>
    <row r="603" spans="1:23" x14ac:dyDescent="0.35">
      <c r="A603" s="7" t="s">
        <v>23</v>
      </c>
      <c r="B603" s="7" t="s">
        <v>1747</v>
      </c>
      <c r="C603" s="7" t="s">
        <v>1748</v>
      </c>
      <c r="D603" s="8">
        <v>305651</v>
      </c>
      <c r="E603" s="7" t="s">
        <v>451</v>
      </c>
      <c r="F603" s="7" t="s">
        <v>1749</v>
      </c>
      <c r="G603" s="7" t="s">
        <v>72</v>
      </c>
      <c r="H603" s="7" t="s">
        <v>489</v>
      </c>
      <c r="I603" s="7" t="s">
        <v>28</v>
      </c>
      <c r="J603" s="7" t="s">
        <v>40</v>
      </c>
      <c r="K603" s="7" t="s">
        <v>41</v>
      </c>
      <c r="L603" s="7" t="s">
        <v>42</v>
      </c>
      <c r="M603" s="7" t="s">
        <v>1750</v>
      </c>
      <c r="N603" s="9" t="s">
        <v>32</v>
      </c>
      <c r="O603" s="9" t="s">
        <v>447</v>
      </c>
      <c r="P603" s="9" t="s">
        <v>34</v>
      </c>
      <c r="Q603" s="10" t="str">
        <f>IF(IDMaster[[#This Row],[Consumption]]="Consumption",IDMaster[[#This Row],[Consumption]],IDMaster[[#This Row],[Basis]])</f>
        <v>Revenue</v>
      </c>
      <c r="R603" s="7" t="str">
        <f>IDMaster[[#This Row],[Supported Group]]&amp;"."&amp;IDMaster[[#This Row],[Basis]]</f>
        <v>Acima.Revenue</v>
      </c>
      <c r="S603" s="11">
        <v>0.42185161428265983</v>
      </c>
      <c r="T603" s="12">
        <v>0.57814838571734017</v>
      </c>
      <c r="U603" s="12">
        <v>0</v>
      </c>
      <c r="V603" s="12">
        <v>0</v>
      </c>
      <c r="W603" s="12">
        <v>0</v>
      </c>
    </row>
    <row r="604" spans="1:23" x14ac:dyDescent="0.35">
      <c r="A604" s="7" t="s">
        <v>23</v>
      </c>
      <c r="B604" s="7" t="s">
        <v>1751</v>
      </c>
      <c r="C604" s="7" t="s">
        <v>1752</v>
      </c>
      <c r="D604" s="8">
        <v>350317</v>
      </c>
      <c r="E604" s="7" t="s">
        <v>595</v>
      </c>
      <c r="F604" s="7" t="s">
        <v>1753</v>
      </c>
      <c r="G604" s="7" t="s">
        <v>48</v>
      </c>
      <c r="H604" s="7" t="s">
        <v>489</v>
      </c>
      <c r="I604" s="7" t="s">
        <v>28</v>
      </c>
      <c r="J604" s="7" t="s">
        <v>40</v>
      </c>
      <c r="K604" s="7" t="s">
        <v>41</v>
      </c>
      <c r="L604" s="7" t="s">
        <v>42</v>
      </c>
      <c r="M604" s="7" t="s">
        <v>43</v>
      </c>
      <c r="N604" s="9" t="s">
        <v>32</v>
      </c>
      <c r="O604" s="9" t="s">
        <v>407</v>
      </c>
      <c r="P604" s="9" t="s">
        <v>34</v>
      </c>
      <c r="Q604" s="10" t="str">
        <f>IF(IDMaster[[#This Row],[Consumption]]="Consumption",IDMaster[[#This Row],[Consumption]],IDMaster[[#This Row],[Basis]])</f>
        <v>Revenue</v>
      </c>
      <c r="R604" s="7" t="str">
        <f>IDMaster[[#This Row],[Supported Group]]&amp;"."&amp;IDMaster[[#This Row],[Basis]]</f>
        <v>IT Dev Tools.Revenue</v>
      </c>
      <c r="S604" s="11">
        <v>0.42185161428265983</v>
      </c>
      <c r="T604" s="12">
        <v>0.57814838571734017</v>
      </c>
      <c r="U604" s="12">
        <v>0</v>
      </c>
      <c r="V604" s="12">
        <v>0</v>
      </c>
      <c r="W604" s="12">
        <v>0</v>
      </c>
    </row>
    <row r="605" spans="1:23" x14ac:dyDescent="0.35">
      <c r="A605" s="7" t="s">
        <v>23</v>
      </c>
      <c r="B605" s="7" t="s">
        <v>1754</v>
      </c>
      <c r="C605" s="7" t="s">
        <v>1755</v>
      </c>
      <c r="D605" s="8">
        <v>365107</v>
      </c>
      <c r="E605" s="7" t="s">
        <v>451</v>
      </c>
      <c r="F605" s="7" t="s">
        <v>1756</v>
      </c>
      <c r="G605" s="7" t="s">
        <v>72</v>
      </c>
      <c r="H605" s="7" t="s">
        <v>489</v>
      </c>
      <c r="I605" s="7" t="s">
        <v>28</v>
      </c>
      <c r="J605" s="7" t="s">
        <v>40</v>
      </c>
      <c r="K605" s="7" t="s">
        <v>41</v>
      </c>
      <c r="L605" s="7" t="s">
        <v>42</v>
      </c>
      <c r="M605" s="7" t="s">
        <v>1757</v>
      </c>
      <c r="N605" s="9" t="s">
        <v>32</v>
      </c>
      <c r="O605" s="9" t="s">
        <v>447</v>
      </c>
      <c r="P605" s="9" t="s">
        <v>34</v>
      </c>
      <c r="Q605" s="10" t="str">
        <f>IF(IDMaster[[#This Row],[Consumption]]="Consumption",IDMaster[[#This Row],[Consumption]],IDMaster[[#This Row],[Basis]])</f>
        <v>Revenue</v>
      </c>
      <c r="R605" s="7" t="str">
        <f>IDMaster[[#This Row],[Supported Group]]&amp;"."&amp;IDMaster[[#This Row],[Basis]]</f>
        <v>Acima.Revenue</v>
      </c>
      <c r="S605" s="11">
        <v>0.42185161428265983</v>
      </c>
      <c r="T605" s="12">
        <v>0.57814838571734017</v>
      </c>
      <c r="U605" s="12">
        <v>0</v>
      </c>
      <c r="V605" s="12">
        <v>0</v>
      </c>
      <c r="W605" s="12">
        <v>0</v>
      </c>
    </row>
    <row r="606" spans="1:23" x14ac:dyDescent="0.35">
      <c r="A606" s="7" t="s">
        <v>23</v>
      </c>
      <c r="B606" s="7" t="s">
        <v>1758</v>
      </c>
      <c r="C606" s="7" t="s">
        <v>1759</v>
      </c>
      <c r="D606" s="8">
        <v>317597</v>
      </c>
      <c r="E606" s="7" t="s">
        <v>451</v>
      </c>
      <c r="F606" s="7" t="s">
        <v>1760</v>
      </c>
      <c r="G606" s="7" t="s">
        <v>72</v>
      </c>
      <c r="H606" s="7" t="s">
        <v>489</v>
      </c>
      <c r="I606" s="7" t="s">
        <v>28</v>
      </c>
      <c r="J606" s="7" t="s">
        <v>40</v>
      </c>
      <c r="K606" s="7" t="s">
        <v>41</v>
      </c>
      <c r="L606" s="7" t="s">
        <v>42</v>
      </c>
      <c r="M606" s="7" t="s">
        <v>1761</v>
      </c>
      <c r="N606" s="9" t="s">
        <v>32</v>
      </c>
      <c r="O606" s="9" t="s">
        <v>608</v>
      </c>
      <c r="P606" s="9" t="s">
        <v>34</v>
      </c>
      <c r="Q606" s="10" t="str">
        <f>IF(IDMaster[[#This Row],[Consumption]]="Consumption",IDMaster[[#This Row],[Consumption]],IDMaster[[#This Row],[Basis]])</f>
        <v>Revenue</v>
      </c>
      <c r="R606" s="7" t="str">
        <f>IDMaster[[#This Row],[Supported Group]]&amp;"."&amp;IDMaster[[#This Row],[Basis]]</f>
        <v>Store Operations.Revenue</v>
      </c>
      <c r="S606" s="11">
        <v>0.42185161428265983</v>
      </c>
      <c r="T606" s="12">
        <v>0.57814838571734017</v>
      </c>
      <c r="U606" s="12">
        <v>0</v>
      </c>
      <c r="V606" s="12">
        <v>0</v>
      </c>
      <c r="W606" s="12">
        <v>0</v>
      </c>
    </row>
    <row r="607" spans="1:23" x14ac:dyDescent="0.35">
      <c r="A607" s="7" t="s">
        <v>23</v>
      </c>
      <c r="B607" s="7" t="s">
        <v>1762</v>
      </c>
      <c r="C607" s="7" t="s">
        <v>1763</v>
      </c>
      <c r="D607" s="8">
        <v>317579</v>
      </c>
      <c r="E607" s="7" t="s">
        <v>451</v>
      </c>
      <c r="F607" s="7" t="s">
        <v>1764</v>
      </c>
      <c r="G607" s="7" t="s">
        <v>72</v>
      </c>
      <c r="H607" s="7" t="s">
        <v>489</v>
      </c>
      <c r="I607" s="7" t="s">
        <v>28</v>
      </c>
      <c r="J607" s="7" t="s">
        <v>40</v>
      </c>
      <c r="K607" s="7" t="s">
        <v>840</v>
      </c>
      <c r="L607" s="7" t="s">
        <v>42</v>
      </c>
      <c r="M607" s="7" t="s">
        <v>1765</v>
      </c>
      <c r="N607" s="9" t="s">
        <v>32</v>
      </c>
      <c r="O607" s="9" t="s">
        <v>33</v>
      </c>
      <c r="P607" s="9" t="s">
        <v>34</v>
      </c>
      <c r="Q607" s="10" t="str">
        <f>IF(IDMaster[[#This Row],[Consumption]]="Consumption",IDMaster[[#This Row],[Consumption]],IDMaster[[#This Row],[Basis]])</f>
        <v>Revenue</v>
      </c>
      <c r="R607" s="7" t="str">
        <f>IDMaster[[#This Row],[Supported Group]]&amp;"."&amp;IDMaster[[#This Row],[Basis]]</f>
        <v>IT Tools.Revenue</v>
      </c>
      <c r="S607" s="11">
        <v>0.42185161428265983</v>
      </c>
      <c r="T607" s="12">
        <v>0.57814838571734017</v>
      </c>
      <c r="U607" s="12">
        <v>0</v>
      </c>
      <c r="V607" s="12">
        <v>0</v>
      </c>
      <c r="W607" s="12">
        <v>0</v>
      </c>
    </row>
    <row r="608" spans="1:23" x14ac:dyDescent="0.35">
      <c r="A608" s="7" t="s">
        <v>23</v>
      </c>
      <c r="B608" s="7" t="s">
        <v>1766</v>
      </c>
      <c r="C608" s="7" t="s">
        <v>1767</v>
      </c>
      <c r="D608" s="8">
        <v>355858</v>
      </c>
      <c r="E608" s="7" t="s">
        <v>451</v>
      </c>
      <c r="F608" s="7" t="s">
        <v>1750</v>
      </c>
      <c r="G608" s="7" t="s">
        <v>72</v>
      </c>
      <c r="H608" s="7" t="s">
        <v>489</v>
      </c>
      <c r="I608" s="7" t="s">
        <v>28</v>
      </c>
      <c r="J608" s="7" t="s">
        <v>40</v>
      </c>
      <c r="K608" s="7" t="s">
        <v>41</v>
      </c>
      <c r="L608" s="7" t="s">
        <v>42</v>
      </c>
      <c r="M608" s="7" t="s">
        <v>1750</v>
      </c>
      <c r="N608" s="9" t="s">
        <v>32</v>
      </c>
      <c r="O608" s="9" t="s">
        <v>447</v>
      </c>
      <c r="P608" s="9" t="s">
        <v>34</v>
      </c>
      <c r="Q608" s="10" t="str">
        <f>IF(IDMaster[[#This Row],[Consumption]]="Consumption",IDMaster[[#This Row],[Consumption]],IDMaster[[#This Row],[Basis]])</f>
        <v>Revenue</v>
      </c>
      <c r="R608" s="7" t="str">
        <f>IDMaster[[#This Row],[Supported Group]]&amp;"."&amp;IDMaster[[#This Row],[Basis]]</f>
        <v>Acima.Revenue</v>
      </c>
      <c r="S608" s="11">
        <v>0.42185161428265983</v>
      </c>
      <c r="T608" s="12">
        <v>0.57814838571734017</v>
      </c>
      <c r="U608" s="12">
        <v>0</v>
      </c>
      <c r="V608" s="12">
        <v>0</v>
      </c>
      <c r="W608" s="12">
        <v>0</v>
      </c>
    </row>
    <row r="609" spans="1:23" x14ac:dyDescent="0.35">
      <c r="A609" s="7" t="s">
        <v>23</v>
      </c>
      <c r="B609" s="7" t="s">
        <v>1768</v>
      </c>
      <c r="C609" s="7" t="s">
        <v>1769</v>
      </c>
      <c r="D609" s="8">
        <v>317437</v>
      </c>
      <c r="E609" s="7" t="s">
        <v>451</v>
      </c>
      <c r="F609" s="7" t="s">
        <v>1746</v>
      </c>
      <c r="G609" s="7" t="s">
        <v>72</v>
      </c>
      <c r="H609" s="7" t="s">
        <v>489</v>
      </c>
      <c r="I609" s="7" t="s">
        <v>28</v>
      </c>
      <c r="J609" s="7" t="s">
        <v>40</v>
      </c>
      <c r="K609" s="7" t="s">
        <v>840</v>
      </c>
      <c r="L609" s="7" t="s">
        <v>42</v>
      </c>
      <c r="M609" s="7" t="s">
        <v>1746</v>
      </c>
      <c r="N609" s="9" t="s">
        <v>32</v>
      </c>
      <c r="O609" s="9" t="s">
        <v>447</v>
      </c>
      <c r="P609" s="9" t="s">
        <v>34</v>
      </c>
      <c r="Q609" s="10" t="str">
        <f>IF(IDMaster[[#This Row],[Consumption]]="Consumption",IDMaster[[#This Row],[Consumption]],IDMaster[[#This Row],[Basis]])</f>
        <v>Revenue</v>
      </c>
      <c r="R609" s="7" t="str">
        <f>IDMaster[[#This Row],[Supported Group]]&amp;"."&amp;IDMaster[[#This Row],[Basis]]</f>
        <v>Acima.Revenue</v>
      </c>
      <c r="S609" s="11">
        <v>0.42185161428265983</v>
      </c>
      <c r="T609" s="12">
        <v>0.57814838571734017</v>
      </c>
      <c r="U609" s="12">
        <v>0</v>
      </c>
      <c r="V609" s="12">
        <v>0</v>
      </c>
      <c r="W609" s="12">
        <v>0</v>
      </c>
    </row>
    <row r="610" spans="1:23" x14ac:dyDescent="0.35">
      <c r="A610" s="7" t="s">
        <v>23</v>
      </c>
      <c r="B610" s="7" t="s">
        <v>1770</v>
      </c>
      <c r="C610" s="7" t="s">
        <v>1771</v>
      </c>
      <c r="D610" s="8">
        <v>317589</v>
      </c>
      <c r="E610" s="7" t="s">
        <v>451</v>
      </c>
      <c r="F610" s="7" t="s">
        <v>1772</v>
      </c>
      <c r="G610" s="7" t="s">
        <v>72</v>
      </c>
      <c r="H610" s="7" t="s">
        <v>489</v>
      </c>
      <c r="I610" s="7" t="s">
        <v>28</v>
      </c>
      <c r="J610" s="7" t="s">
        <v>40</v>
      </c>
      <c r="K610" s="7" t="s">
        <v>840</v>
      </c>
      <c r="L610" s="7" t="s">
        <v>42</v>
      </c>
      <c r="M610" s="7" t="s">
        <v>1772</v>
      </c>
      <c r="N610" s="9" t="s">
        <v>32</v>
      </c>
      <c r="O610" s="9" t="s">
        <v>447</v>
      </c>
      <c r="P610" s="9" t="s">
        <v>34</v>
      </c>
      <c r="Q610" s="10" t="str">
        <f>IF(IDMaster[[#This Row],[Consumption]]="Consumption",IDMaster[[#This Row],[Consumption]],IDMaster[[#This Row],[Basis]])</f>
        <v>Revenue</v>
      </c>
      <c r="R610" s="7" t="str">
        <f>IDMaster[[#This Row],[Supported Group]]&amp;"."&amp;IDMaster[[#This Row],[Basis]]</f>
        <v>Acima.Revenue</v>
      </c>
      <c r="S610" s="11">
        <v>0.42185161428265983</v>
      </c>
      <c r="T610" s="12">
        <v>0.57814838571734017</v>
      </c>
      <c r="U610" s="12">
        <v>0</v>
      </c>
      <c r="V610" s="12">
        <v>0</v>
      </c>
      <c r="W610" s="12">
        <v>0</v>
      </c>
    </row>
    <row r="611" spans="1:23" x14ac:dyDescent="0.35">
      <c r="A611" s="7" t="s">
        <v>23</v>
      </c>
      <c r="B611" s="7" t="s">
        <v>1773</v>
      </c>
      <c r="C611" s="7" t="s">
        <v>1774</v>
      </c>
      <c r="D611" s="8">
        <v>273004</v>
      </c>
      <c r="E611" s="7" t="s">
        <v>70</v>
      </c>
      <c r="F611" s="7" t="s">
        <v>1775</v>
      </c>
      <c r="G611" s="7" t="s">
        <v>72</v>
      </c>
      <c r="H611" s="7" t="s">
        <v>489</v>
      </c>
      <c r="I611" s="7" t="s">
        <v>123</v>
      </c>
      <c r="J611" s="7" t="s">
        <v>40</v>
      </c>
      <c r="K611" s="7" t="s">
        <v>41</v>
      </c>
      <c r="L611" s="7" t="s">
        <v>42</v>
      </c>
      <c r="M611" s="7" t="s">
        <v>1746</v>
      </c>
      <c r="N611" s="9" t="s">
        <v>446</v>
      </c>
      <c r="O611" s="9" t="s">
        <v>447</v>
      </c>
      <c r="P611" s="9" t="s">
        <v>34</v>
      </c>
      <c r="Q611" s="10" t="str">
        <f>IF(IDMaster[[#This Row],[Consumption]]="Consumption",IDMaster[[#This Row],[Consumption]],IDMaster[[#This Row],[Basis]])</f>
        <v>Acima Direct</v>
      </c>
      <c r="R611" s="7" t="str">
        <f>IDMaster[[#This Row],[Supported Group]]&amp;"."&amp;IDMaster[[#This Row],[Basis]]</f>
        <v>Acima.Acima Direct</v>
      </c>
      <c r="S611" s="11">
        <v>0</v>
      </c>
      <c r="T611" s="12">
        <v>1</v>
      </c>
      <c r="U611" s="12">
        <v>0</v>
      </c>
      <c r="V611" s="12">
        <v>0</v>
      </c>
      <c r="W611" s="12">
        <v>0</v>
      </c>
    </row>
    <row r="612" spans="1:23" x14ac:dyDescent="0.35">
      <c r="A612" s="7" t="s">
        <v>23</v>
      </c>
      <c r="B612" s="7" t="s">
        <v>1776</v>
      </c>
      <c r="C612" s="15" t="s">
        <v>173</v>
      </c>
      <c r="D612" s="8">
        <v>357450</v>
      </c>
      <c r="E612" s="7" t="s">
        <v>156</v>
      </c>
      <c r="F612" s="7" t="s">
        <v>174</v>
      </c>
      <c r="G612" s="16" t="s">
        <v>103</v>
      </c>
      <c r="H612" s="7" t="s">
        <v>489</v>
      </c>
      <c r="I612" s="7" t="s">
        <v>28</v>
      </c>
      <c r="J612" s="7" t="s">
        <v>40</v>
      </c>
      <c r="K612" s="7" t="s">
        <v>80</v>
      </c>
      <c r="L612" s="7" t="s">
        <v>42</v>
      </c>
      <c r="M612" s="7" t="s">
        <v>1777</v>
      </c>
      <c r="N612" s="9" t="s">
        <v>32</v>
      </c>
      <c r="O612" s="9" t="s">
        <v>81</v>
      </c>
      <c r="P612" s="9" t="s">
        <v>34</v>
      </c>
      <c r="Q612" s="10" t="str">
        <f>IF(IDMaster[[#This Row],[Consumption]]="Consumption",IDMaster[[#This Row],[Consumption]],IDMaster[[#This Row],[Basis]])</f>
        <v>Revenue</v>
      </c>
      <c r="R612" s="7" t="str">
        <f>IDMaster[[#This Row],[Supported Group]]&amp;"."&amp;IDMaster[[#This Row],[Basis]]</f>
        <v>Data.Revenue</v>
      </c>
      <c r="S612" s="11">
        <v>0.42185161428265983</v>
      </c>
      <c r="T612" s="12">
        <v>0.57814838571734017</v>
      </c>
      <c r="U612" s="12">
        <v>0</v>
      </c>
      <c r="V612" s="12">
        <v>0</v>
      </c>
      <c r="W612" s="12">
        <v>0</v>
      </c>
    </row>
    <row r="613" spans="1:23" x14ac:dyDescent="0.35">
      <c r="A613" s="7" t="s">
        <v>23</v>
      </c>
      <c r="B613" s="7" t="s">
        <v>1778</v>
      </c>
      <c r="C613" s="7" t="s">
        <v>1779</v>
      </c>
      <c r="D613" s="8">
        <v>269206</v>
      </c>
      <c r="E613" s="7" t="s">
        <v>70</v>
      </c>
      <c r="F613" s="7" t="s">
        <v>1780</v>
      </c>
      <c r="G613" s="7" t="s">
        <v>72</v>
      </c>
      <c r="H613" s="7" t="s">
        <v>489</v>
      </c>
      <c r="I613" s="7" t="s">
        <v>28</v>
      </c>
      <c r="J613" s="7" t="s">
        <v>40</v>
      </c>
      <c r="K613" s="7" t="s">
        <v>1781</v>
      </c>
      <c r="L613" s="7" t="s">
        <v>631</v>
      </c>
      <c r="M613" s="7" t="s">
        <v>43</v>
      </c>
      <c r="N613" s="9" t="s">
        <v>32</v>
      </c>
      <c r="O613" s="9" t="s">
        <v>141</v>
      </c>
      <c r="P613" s="9" t="s">
        <v>34</v>
      </c>
      <c r="Q613" s="10" t="str">
        <f>IF(IDMaster[[#This Row],[Consumption]]="Consumption",IDMaster[[#This Row],[Consumption]],IDMaster[[#This Row],[Basis]])</f>
        <v>Revenue</v>
      </c>
      <c r="R613" s="7" t="str">
        <f>IDMaster[[#This Row],[Supported Group]]&amp;"."&amp;IDMaster[[#This Row],[Basis]]</f>
        <v>Other.Revenue</v>
      </c>
      <c r="S613" s="11">
        <v>0.42185161428265983</v>
      </c>
      <c r="T613" s="12">
        <v>0.57814838571734017</v>
      </c>
      <c r="U613" s="12">
        <v>0</v>
      </c>
      <c r="V613" s="12">
        <v>0</v>
      </c>
      <c r="W613" s="12">
        <v>0</v>
      </c>
    </row>
    <row r="614" spans="1:23" x14ac:dyDescent="0.35">
      <c r="A614" s="7" t="s">
        <v>23</v>
      </c>
      <c r="B614" s="7" t="s">
        <v>1782</v>
      </c>
      <c r="C614" s="7" t="s">
        <v>1783</v>
      </c>
      <c r="D614" s="8">
        <v>317565</v>
      </c>
      <c r="E614" s="7" t="s">
        <v>405</v>
      </c>
      <c r="F614" s="7" t="s">
        <v>1784</v>
      </c>
      <c r="G614" s="7" t="s">
        <v>72</v>
      </c>
      <c r="H614" s="7" t="s">
        <v>489</v>
      </c>
      <c r="I614" s="7" t="s">
        <v>28</v>
      </c>
      <c r="J614" s="7" t="s">
        <v>137</v>
      </c>
      <c r="K614" s="7" t="s">
        <v>63</v>
      </c>
      <c r="L614" s="7" t="s">
        <v>30</v>
      </c>
      <c r="M614" s="7" t="s">
        <v>43</v>
      </c>
      <c r="N614" s="9" t="s">
        <v>32</v>
      </c>
      <c r="O614" s="9" t="s">
        <v>447</v>
      </c>
      <c r="P614" s="9" t="s">
        <v>34</v>
      </c>
      <c r="Q614" s="10" t="str">
        <f>IF(IDMaster[[#This Row],[Consumption]]="Consumption",IDMaster[[#This Row],[Consumption]],IDMaster[[#This Row],[Basis]])</f>
        <v>Revenue</v>
      </c>
      <c r="R614" s="7" t="str">
        <f>IDMaster[[#This Row],[Supported Group]]&amp;"."&amp;IDMaster[[#This Row],[Basis]]</f>
        <v>Acima.Revenue</v>
      </c>
      <c r="S614" s="11">
        <v>0.42185161428265983</v>
      </c>
      <c r="T614" s="12">
        <v>0.57814838571734017</v>
      </c>
      <c r="U614" s="12">
        <v>0</v>
      </c>
      <c r="V614" s="12">
        <v>0</v>
      </c>
      <c r="W614" s="12">
        <v>0</v>
      </c>
    </row>
    <row r="615" spans="1:23" x14ac:dyDescent="0.35">
      <c r="A615" s="7" t="s">
        <v>23</v>
      </c>
      <c r="B615" s="7" t="s">
        <v>1785</v>
      </c>
      <c r="C615" s="7" t="s">
        <v>1786</v>
      </c>
      <c r="D615" s="8">
        <v>317591</v>
      </c>
      <c r="E615" s="7" t="s">
        <v>70</v>
      </c>
      <c r="F615" s="7" t="s">
        <v>1787</v>
      </c>
      <c r="G615" s="7" t="s">
        <v>72</v>
      </c>
      <c r="H615" s="7" t="s">
        <v>489</v>
      </c>
      <c r="I615" s="7" t="s">
        <v>28</v>
      </c>
      <c r="J615" s="7" t="s">
        <v>137</v>
      </c>
      <c r="K615" s="7" t="s">
        <v>63</v>
      </c>
      <c r="L615" s="7" t="s">
        <v>30</v>
      </c>
      <c r="M615" s="7" t="s">
        <v>1788</v>
      </c>
      <c r="N615" s="9" t="s">
        <v>32</v>
      </c>
      <c r="O615" s="9" t="s">
        <v>447</v>
      </c>
      <c r="P615" s="9" t="s">
        <v>34</v>
      </c>
      <c r="Q615" s="10" t="str">
        <f>IF(IDMaster[[#This Row],[Consumption]]="Consumption",IDMaster[[#This Row],[Consumption]],IDMaster[[#This Row],[Basis]])</f>
        <v>Revenue</v>
      </c>
      <c r="R615" s="7" t="str">
        <f>IDMaster[[#This Row],[Supported Group]]&amp;"."&amp;IDMaster[[#This Row],[Basis]]</f>
        <v>Acima.Revenue</v>
      </c>
      <c r="S615" s="11">
        <v>0.42185161428265983</v>
      </c>
      <c r="T615" s="12">
        <v>0.57814838571734017</v>
      </c>
      <c r="U615" s="12">
        <v>0</v>
      </c>
      <c r="V615" s="12">
        <v>0</v>
      </c>
      <c r="W615" s="12">
        <v>0</v>
      </c>
    </row>
    <row r="616" spans="1:23" x14ac:dyDescent="0.35">
      <c r="A616" s="7" t="s">
        <v>23</v>
      </c>
      <c r="B616" s="7" t="s">
        <v>1789</v>
      </c>
      <c r="C616" s="7" t="s">
        <v>1790</v>
      </c>
      <c r="D616" s="8">
        <v>363223</v>
      </c>
      <c r="E616" s="7" t="s">
        <v>70</v>
      </c>
      <c r="F616" s="7" t="s">
        <v>1791</v>
      </c>
      <c r="G616" s="7" t="s">
        <v>72</v>
      </c>
      <c r="H616" s="7" t="s">
        <v>489</v>
      </c>
      <c r="I616" s="7" t="s">
        <v>28</v>
      </c>
      <c r="J616" s="7" t="s">
        <v>137</v>
      </c>
      <c r="K616" s="7" t="s">
        <v>508</v>
      </c>
      <c r="L616" s="7" t="s">
        <v>30</v>
      </c>
      <c r="M616" s="7" t="s">
        <v>43</v>
      </c>
      <c r="N616" s="9" t="s">
        <v>32</v>
      </c>
      <c r="O616" s="9" t="s">
        <v>447</v>
      </c>
      <c r="P616" s="9" t="s">
        <v>34</v>
      </c>
      <c r="Q616" s="10" t="str">
        <f>IF(IDMaster[[#This Row],[Consumption]]="Consumption",IDMaster[[#This Row],[Consumption]],IDMaster[[#This Row],[Basis]])</f>
        <v>Revenue</v>
      </c>
      <c r="R616" s="7" t="str">
        <f>IDMaster[[#This Row],[Supported Group]]&amp;"."&amp;IDMaster[[#This Row],[Basis]]</f>
        <v>Acima.Revenue</v>
      </c>
      <c r="S616" s="11">
        <v>0.42185161428265983</v>
      </c>
      <c r="T616" s="12">
        <v>0.57814838571734017</v>
      </c>
      <c r="U616" s="12">
        <v>0</v>
      </c>
      <c r="V616" s="12">
        <v>0</v>
      </c>
      <c r="W616" s="12">
        <v>0</v>
      </c>
    </row>
    <row r="617" spans="1:23" x14ac:dyDescent="0.35">
      <c r="A617" s="7" t="s">
        <v>23</v>
      </c>
      <c r="B617" s="7" t="s">
        <v>1792</v>
      </c>
      <c r="C617" s="7" t="s">
        <v>290</v>
      </c>
      <c r="D617" s="8">
        <v>317598</v>
      </c>
      <c r="E617" s="7" t="s">
        <v>70</v>
      </c>
      <c r="F617" s="7" t="s">
        <v>1788</v>
      </c>
      <c r="G617" s="7" t="s">
        <v>72</v>
      </c>
      <c r="H617" s="7" t="s">
        <v>489</v>
      </c>
      <c r="I617" s="7" t="s">
        <v>28</v>
      </c>
      <c r="J617" s="7" t="s">
        <v>137</v>
      </c>
      <c r="K617" s="7" t="s">
        <v>63</v>
      </c>
      <c r="L617" s="7" t="s">
        <v>30</v>
      </c>
      <c r="M617" s="7" t="s">
        <v>43</v>
      </c>
      <c r="N617" s="9" t="s">
        <v>32</v>
      </c>
      <c r="O617" s="9" t="s">
        <v>67</v>
      </c>
      <c r="P617" s="9" t="s">
        <v>34</v>
      </c>
      <c r="Q617" s="10" t="str">
        <f>IF(IDMaster[[#This Row],[Consumption]]="Consumption",IDMaster[[#This Row],[Consumption]],IDMaster[[#This Row],[Basis]])</f>
        <v>Revenue</v>
      </c>
      <c r="R617" s="7" t="str">
        <f>IDMaster[[#This Row],[Supported Group]]&amp;"."&amp;IDMaster[[#This Row],[Basis]]</f>
        <v>IT Corporate.Revenue</v>
      </c>
      <c r="S617" s="11">
        <v>0.42185161428265983</v>
      </c>
      <c r="T617" s="12">
        <v>0.57814838571734017</v>
      </c>
      <c r="U617" s="12">
        <v>0</v>
      </c>
      <c r="V617" s="12">
        <v>0</v>
      </c>
      <c r="W617" s="12">
        <v>0</v>
      </c>
    </row>
    <row r="618" spans="1:23" x14ac:dyDescent="0.35">
      <c r="A618" s="7" t="s">
        <v>23</v>
      </c>
      <c r="B618" s="7" t="s">
        <v>1793</v>
      </c>
      <c r="C618" s="7" t="s">
        <v>121</v>
      </c>
      <c r="D618" s="8">
        <v>260532</v>
      </c>
      <c r="E618" s="7" t="s">
        <v>595</v>
      </c>
      <c r="F618" s="7" t="s">
        <v>1794</v>
      </c>
      <c r="G618" s="7" t="s">
        <v>48</v>
      </c>
      <c r="H618" s="7" t="s">
        <v>39</v>
      </c>
      <c r="I618" s="7" t="s">
        <v>123</v>
      </c>
      <c r="J618" s="7" t="s">
        <v>124</v>
      </c>
      <c r="K618" s="7" t="s">
        <v>41</v>
      </c>
      <c r="L618" s="7" t="s">
        <v>42</v>
      </c>
      <c r="M618" s="7" t="s">
        <v>445</v>
      </c>
      <c r="N618" s="9" t="s">
        <v>446</v>
      </c>
      <c r="O618" s="9" t="s">
        <v>447</v>
      </c>
      <c r="P618" s="9" t="s">
        <v>34</v>
      </c>
      <c r="Q618" s="10" t="str">
        <f>IF(IDMaster[[#This Row],[Consumption]]="Consumption",IDMaster[[#This Row],[Consumption]],IDMaster[[#This Row],[Basis]])</f>
        <v>Acima Direct</v>
      </c>
      <c r="R618" s="7" t="str">
        <f>IDMaster[[#This Row],[Supported Group]]&amp;"."&amp;IDMaster[[#This Row],[Basis]]</f>
        <v>Acima.Acima Direct</v>
      </c>
      <c r="S618" s="11">
        <v>0</v>
      </c>
      <c r="T618" s="12">
        <v>1</v>
      </c>
      <c r="U618" s="12">
        <v>0</v>
      </c>
      <c r="V618" s="12">
        <v>0</v>
      </c>
      <c r="W618" s="12">
        <v>0</v>
      </c>
    </row>
    <row r="619" spans="1:23" x14ac:dyDescent="0.35">
      <c r="A619" s="7" t="s">
        <v>23</v>
      </c>
      <c r="B619" s="7" t="s">
        <v>1795</v>
      </c>
      <c r="C619" s="7" t="s">
        <v>1796</v>
      </c>
      <c r="D619" s="8">
        <v>317650</v>
      </c>
      <c r="E619" s="7" t="s">
        <v>312</v>
      </c>
      <c r="F619" s="7" t="s">
        <v>1797</v>
      </c>
      <c r="G619" s="7" t="s">
        <v>48</v>
      </c>
      <c r="H619" s="7" t="s">
        <v>489</v>
      </c>
      <c r="I619" s="7" t="s">
        <v>28</v>
      </c>
      <c r="J619" s="7" t="s">
        <v>625</v>
      </c>
      <c r="K619" s="7" t="s">
        <v>41</v>
      </c>
      <c r="L619" s="7" t="s">
        <v>42</v>
      </c>
      <c r="M619" s="7" t="s">
        <v>43</v>
      </c>
      <c r="N619" s="9" t="s">
        <v>92</v>
      </c>
      <c r="O619" s="9" t="s">
        <v>44</v>
      </c>
      <c r="P619" s="9" t="s">
        <v>34</v>
      </c>
      <c r="Q619" s="10" t="str">
        <f>IF(IDMaster[[#This Row],[Consumption]]="Consumption",IDMaster[[#This Row],[Consumption]],IDMaster[[#This Row],[Basis]])</f>
        <v>Total Headcount</v>
      </c>
      <c r="R619" s="7" t="str">
        <f>IDMaster[[#This Row],[Supported Group]]&amp;"."&amp;IDMaster[[#This Row],[Basis]]</f>
        <v>Corporate.Total Headcount</v>
      </c>
      <c r="S619" s="11">
        <v>0.69106036166058238</v>
      </c>
      <c r="T619" s="12">
        <v>0.14347567705238135</v>
      </c>
      <c r="U619" s="12">
        <v>0</v>
      </c>
      <c r="V619" s="12">
        <v>0</v>
      </c>
      <c r="W619" s="12">
        <v>0.16546396128703625</v>
      </c>
    </row>
    <row r="620" spans="1:23" x14ac:dyDescent="0.35">
      <c r="A620" s="7" t="s">
        <v>23</v>
      </c>
      <c r="B620" s="7" t="s">
        <v>1798</v>
      </c>
      <c r="C620" s="7" t="s">
        <v>343</v>
      </c>
      <c r="D620" s="8">
        <v>244518</v>
      </c>
      <c r="E620" s="7" t="s">
        <v>227</v>
      </c>
      <c r="F620" s="7" t="s">
        <v>1799</v>
      </c>
      <c r="G620" s="7" t="s">
        <v>48</v>
      </c>
      <c r="H620" s="7" t="s">
        <v>27</v>
      </c>
      <c r="I620" s="7" t="s">
        <v>28</v>
      </c>
      <c r="J620" s="7" t="s">
        <v>40</v>
      </c>
      <c r="K620" s="7" t="s">
        <v>80</v>
      </c>
      <c r="L620" s="7" t="s">
        <v>42</v>
      </c>
      <c r="M620" s="7" t="s">
        <v>1800</v>
      </c>
      <c r="N620" s="9" t="s">
        <v>32</v>
      </c>
      <c r="O620" s="9" t="s">
        <v>33</v>
      </c>
      <c r="P620" s="9" t="s">
        <v>34</v>
      </c>
      <c r="Q620" s="10" t="str">
        <f>IF(IDMaster[[#This Row],[Consumption]]="Consumption",IDMaster[[#This Row],[Consumption]],IDMaster[[#This Row],[Basis]])</f>
        <v>Revenue</v>
      </c>
      <c r="R620" s="7" t="str">
        <f>IDMaster[[#This Row],[Supported Group]]&amp;"."&amp;IDMaster[[#This Row],[Basis]]</f>
        <v>IT Tools.Revenue</v>
      </c>
      <c r="S620" s="11">
        <v>0.42185161428265983</v>
      </c>
      <c r="T620" s="12">
        <v>0.57814838571734017</v>
      </c>
      <c r="U620" s="12">
        <v>0</v>
      </c>
      <c r="V620" s="12">
        <v>0</v>
      </c>
      <c r="W620" s="12">
        <v>0</v>
      </c>
    </row>
    <row r="621" spans="1:23" x14ac:dyDescent="0.35">
      <c r="A621" s="7" t="s">
        <v>23</v>
      </c>
      <c r="B621" s="7" t="s">
        <v>1801</v>
      </c>
      <c r="C621" s="7" t="s">
        <v>1802</v>
      </c>
      <c r="D621" s="8">
        <v>317658</v>
      </c>
      <c r="E621" s="7" t="s">
        <v>95</v>
      </c>
      <c r="F621" s="7" t="s">
        <v>1803</v>
      </c>
      <c r="G621" s="7" t="s">
        <v>97</v>
      </c>
      <c r="H621" s="7" t="s">
        <v>27</v>
      </c>
      <c r="I621" s="7" t="s">
        <v>28</v>
      </c>
      <c r="J621" s="7" t="s">
        <v>40</v>
      </c>
      <c r="K621" s="7" t="s">
        <v>80</v>
      </c>
      <c r="L621" s="7" t="s">
        <v>42</v>
      </c>
      <c r="M621" s="7" t="s">
        <v>1804</v>
      </c>
      <c r="N621" s="9" t="s">
        <v>32</v>
      </c>
      <c r="O621" s="9" t="s">
        <v>99</v>
      </c>
      <c r="P621" s="9" t="s">
        <v>34</v>
      </c>
      <c r="Q621" s="10" t="str">
        <f>IF(IDMaster[[#This Row],[Consumption]]="Consumption",IDMaster[[#This Row],[Consumption]],IDMaster[[#This Row],[Basis]])</f>
        <v>Revenue</v>
      </c>
      <c r="R621" s="7" t="str">
        <f>IDMaster[[#This Row],[Supported Group]]&amp;"."&amp;IDMaster[[#This Row],[Basis]]</f>
        <v>Security.Revenue</v>
      </c>
      <c r="S621" s="11">
        <v>0.42185161428265983</v>
      </c>
      <c r="T621" s="12">
        <v>0.57814838571734017</v>
      </c>
      <c r="U621" s="12">
        <v>0</v>
      </c>
      <c r="V621" s="12">
        <v>0</v>
      </c>
      <c r="W621" s="12">
        <v>0</v>
      </c>
    </row>
    <row r="622" spans="1:23" x14ac:dyDescent="0.35">
      <c r="A622" s="7" t="s">
        <v>23</v>
      </c>
      <c r="B622" s="7" t="s">
        <v>1805</v>
      </c>
      <c r="C622" s="7" t="s">
        <v>1806</v>
      </c>
      <c r="D622" s="8">
        <v>317583</v>
      </c>
      <c r="E622" s="7" t="s">
        <v>479</v>
      </c>
      <c r="F622" s="7" t="s">
        <v>1807</v>
      </c>
      <c r="G622" s="7" t="s">
        <v>48</v>
      </c>
      <c r="H622" s="7" t="s">
        <v>489</v>
      </c>
      <c r="I622" s="7" t="s">
        <v>28</v>
      </c>
      <c r="J622" s="7" t="s">
        <v>40</v>
      </c>
      <c r="K622" s="7" t="s">
        <v>41</v>
      </c>
      <c r="L622" s="7" t="s">
        <v>42</v>
      </c>
      <c r="M622" s="7" t="s">
        <v>43</v>
      </c>
      <c r="N622" s="9" t="s">
        <v>32</v>
      </c>
      <c r="O622" s="9" t="s">
        <v>447</v>
      </c>
      <c r="P622" s="9" t="s">
        <v>34</v>
      </c>
      <c r="Q622" s="10" t="str">
        <f>IF(IDMaster[[#This Row],[Consumption]]="Consumption",IDMaster[[#This Row],[Consumption]],IDMaster[[#This Row],[Basis]])</f>
        <v>Revenue</v>
      </c>
      <c r="R622" s="7" t="str">
        <f>IDMaster[[#This Row],[Supported Group]]&amp;"."&amp;IDMaster[[#This Row],[Basis]]</f>
        <v>Acima.Revenue</v>
      </c>
      <c r="S622" s="11">
        <v>0.42185161428265983</v>
      </c>
      <c r="T622" s="12">
        <v>0.57814838571734017</v>
      </c>
      <c r="U622" s="12">
        <v>0</v>
      </c>
      <c r="V622" s="12">
        <v>0</v>
      </c>
      <c r="W622" s="12">
        <v>0</v>
      </c>
    </row>
    <row r="623" spans="1:23" x14ac:dyDescent="0.35">
      <c r="A623" s="7" t="s">
        <v>23</v>
      </c>
      <c r="B623" s="7" t="s">
        <v>1808</v>
      </c>
      <c r="C623" s="7" t="s">
        <v>656</v>
      </c>
      <c r="D623" s="8">
        <v>317439</v>
      </c>
      <c r="E623" s="7" t="s">
        <v>479</v>
      </c>
      <c r="F623" s="7" t="s">
        <v>1809</v>
      </c>
      <c r="G623" s="7" t="s">
        <v>48</v>
      </c>
      <c r="H623" s="7" t="s">
        <v>489</v>
      </c>
      <c r="I623" s="7" t="s">
        <v>123</v>
      </c>
      <c r="J623" s="7" t="s">
        <v>267</v>
      </c>
      <c r="K623" s="7" t="s">
        <v>41</v>
      </c>
      <c r="L623" s="7" t="s">
        <v>42</v>
      </c>
      <c r="M623" s="7" t="s">
        <v>1810</v>
      </c>
      <c r="N623" s="9" t="s">
        <v>32</v>
      </c>
      <c r="O623" s="9" t="s">
        <v>67</v>
      </c>
      <c r="P623" s="14" t="s">
        <v>34</v>
      </c>
      <c r="Q623" s="10" t="str">
        <f>IF(IDMaster[[#This Row],[Consumption]]="Consumption",IDMaster[[#This Row],[Consumption]],IDMaster[[#This Row],[Basis]])</f>
        <v>Revenue</v>
      </c>
      <c r="R623" s="7" t="str">
        <f>IDMaster[[#This Row],[Supported Group]]&amp;"."&amp;IDMaster[[#This Row],[Basis]]</f>
        <v>IT Corporate.Revenue</v>
      </c>
      <c r="S623" s="11">
        <v>0.42185161428265983</v>
      </c>
      <c r="T623" s="12">
        <v>0.57814838571734017</v>
      </c>
      <c r="U623" s="12">
        <v>0</v>
      </c>
      <c r="V623" s="12">
        <v>0</v>
      </c>
      <c r="W623" s="12">
        <v>0</v>
      </c>
    </row>
    <row r="624" spans="1:23" x14ac:dyDescent="0.35">
      <c r="A624" s="7" t="s">
        <v>23</v>
      </c>
      <c r="B624" s="7" t="s">
        <v>1811</v>
      </c>
      <c r="C624" s="7" t="s">
        <v>1812</v>
      </c>
      <c r="D624" s="8">
        <v>301217</v>
      </c>
      <c r="E624" s="7" t="s">
        <v>46</v>
      </c>
      <c r="F624" s="7" t="s">
        <v>1813</v>
      </c>
      <c r="G624" s="7" t="s">
        <v>48</v>
      </c>
      <c r="H624" s="7" t="s">
        <v>489</v>
      </c>
      <c r="I624" s="7" t="s">
        <v>28</v>
      </c>
      <c r="J624" s="7" t="s">
        <v>710</v>
      </c>
      <c r="K624" s="7" t="s">
        <v>1814</v>
      </c>
      <c r="L624" s="7" t="s">
        <v>627</v>
      </c>
      <c r="M624" s="7" t="s">
        <v>1813</v>
      </c>
      <c r="N624" s="9" t="s">
        <v>92</v>
      </c>
      <c r="O624" s="9" t="s">
        <v>67</v>
      </c>
      <c r="P624" s="9" t="s">
        <v>34</v>
      </c>
      <c r="Q624" s="10" t="str">
        <f>IF(IDMaster[[#This Row],[Consumption]]="Consumption",IDMaster[[#This Row],[Consumption]],IDMaster[[#This Row],[Basis]])</f>
        <v>Total Headcount</v>
      </c>
      <c r="R624" s="7" t="str">
        <f>IDMaster[[#This Row],[Supported Group]]&amp;"."&amp;IDMaster[[#This Row],[Basis]]</f>
        <v>IT Corporate.Total Headcount</v>
      </c>
      <c r="S624" s="11">
        <v>0.69106036166058238</v>
      </c>
      <c r="T624" s="12">
        <v>0.14347567705238135</v>
      </c>
      <c r="U624" s="12">
        <v>0</v>
      </c>
      <c r="V624" s="12">
        <v>0</v>
      </c>
      <c r="W624" s="12">
        <v>0.16546396128703625</v>
      </c>
    </row>
    <row r="631" ht="10.9" customHeight="1" x14ac:dyDescent="0.35"/>
  </sheetData>
  <dataValidations disablePrompts="1" count="1">
    <dataValidation type="list" allowBlank="1" showInputMessage="1" showErrorMessage="1" sqref="P2:P624" xr:uid="{430DDE0B-F289-4068-8A03-EAB6C72D3E1E}">
      <formula1>"&lt;none&gt;,Consumption"</formula1>
    </dataValidation>
  </dataValidations>
  <pageMargins left="0.7" right="0.7" top="0.75" bottom="0.75" header="0.3" footer="0.3"/>
  <pageSetup orientation="portrait" verticalDpi="0"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_x002e__x002e__x002e_ xmlns="1f5ebeb9-d78b-44ee-92e5-05fb7cb39c8f">
      <UserInfo>
        <DisplayName/>
        <AccountId xsi:nil="true"/>
        <AccountType/>
      </UserInfo>
    </Sharedwith_x002e__x002e__x002e_>
    <lcf76f155ced4ddcb4097134ff3c332f xmlns="1f5ebeb9-d78b-44ee-92e5-05fb7cb39c8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86B0AF943C944DAB10AA9BA4597D70" ma:contentTypeVersion="13" ma:contentTypeDescription="Create a new document." ma:contentTypeScope="" ma:versionID="182e2838fde7a25b44e1917dd5df8bd5">
  <xsd:schema xmlns:xsd="http://www.w3.org/2001/XMLSchema" xmlns:xs="http://www.w3.org/2001/XMLSchema" xmlns:p="http://schemas.microsoft.com/office/2006/metadata/properties" xmlns:ns2="1f5ebeb9-d78b-44ee-92e5-05fb7cb39c8f" targetNamespace="http://schemas.microsoft.com/office/2006/metadata/properties" ma:root="true" ma:fieldsID="3497c3e4cd6c2ee740a8f0ec9739f2a9" ns2:_="">
    <xsd:import namespace="1f5ebeb9-d78b-44ee-92e5-05fb7cb39c8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Sharedwith_x002e__x002e__x002e_"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5ebeb9-d78b-44ee-92e5-05fb7cb39c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6690d0b-9ac8-40b9-84a6-a02691117f4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Sharedwith_x002e__x002e__x002e_" ma:index="18" nillable="true" ma:displayName="Shared with..." ma:format="Dropdown" ma:list="UserInfo" ma:SharePointGroup="0" ma:internalName="Sharedwith_x002e__x002e__x002e_">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A50E5E-D8A8-4AEE-9D58-92D24FDCFF28}">
  <ds:schemaRefs>
    <ds:schemaRef ds:uri="http://schemas.microsoft.com/sharepoint/v3/contenttype/forms"/>
  </ds:schemaRefs>
</ds:datastoreItem>
</file>

<file path=customXml/itemProps2.xml><?xml version="1.0" encoding="utf-8"?>
<ds:datastoreItem xmlns:ds="http://schemas.openxmlformats.org/officeDocument/2006/customXml" ds:itemID="{F8658C77-6D6E-4C32-A833-6AE02E7A6AFF}">
  <ds:schemaRefs>
    <ds:schemaRef ds:uri="http://schemas.microsoft.com/office/2006/metadata/properties"/>
    <ds:schemaRef ds:uri="http://purl.org/dc/elements/1.1/"/>
    <ds:schemaRef ds:uri="http://www.w3.org/XML/1998/namespace"/>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1f5ebeb9-d78b-44ee-92e5-05fb7cb39c8f"/>
    <ds:schemaRef ds:uri="http://purl.org/dc/dcmitype/"/>
  </ds:schemaRefs>
</ds:datastoreItem>
</file>

<file path=customXml/itemProps3.xml><?xml version="1.0" encoding="utf-8"?>
<ds:datastoreItem xmlns:ds="http://schemas.openxmlformats.org/officeDocument/2006/customXml" ds:itemID="{360D922D-9D1A-49D1-B435-7F86B33CBC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5ebeb9-d78b-44ee-92e5-05fb7cb39c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2df5bc5-70df-4b7e-be09-6ffb2f11d0e9}" enabled="0" method="" siteId="{b2df5bc5-70df-4b7e-be09-6ffb2f11d0e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ID Master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Doenges</dc:creator>
  <cp:keywords/>
  <dc:description/>
  <cp:lastModifiedBy>Lisa Roddy</cp:lastModifiedBy>
  <cp:revision/>
  <dcterms:created xsi:type="dcterms:W3CDTF">2025-12-19T21:41:45Z</dcterms:created>
  <dcterms:modified xsi:type="dcterms:W3CDTF">2026-07-14T16:03:08Z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0x010100C086B0AF943C944DAB10AA9BA4597D70</vt:lpwstr>
  </property>
  <property fmtid="{D5CDD505-2E9C-101B-9397-08002B2CF9AE}" pid="5" name="MediaServiceImageTags">
    <vt:lpwstr/>
  </property>
</Properties>
</file>